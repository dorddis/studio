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dro\studio\public\data\samples\"/>
    </mc:Choice>
  </mc:AlternateContent>
  <xr:revisionPtr revIDLastSave="0" documentId="13_ncr:1_{448AEB9D-428C-44C1-A237-D8195EDA0E15}" xr6:coauthVersionLast="47" xr6:coauthVersionMax="47" xr10:uidLastSave="{00000000-0000-0000-0000-000000000000}"/>
  <bookViews>
    <workbookView xWindow="-103" yWindow="-103" windowWidth="22149" windowHeight="13200" xr2:uid="{36D91A9D-73DC-4890-95A5-769EFA4D75E1}"/>
  </bookViews>
  <sheets>
    <sheet name="Delhi" sheetId="6" r:id="rId1"/>
  </sheets>
  <definedNames>
    <definedName name="_xlnm._FilterDatabase" localSheetId="0" hidden="1">Delhi!$C$11:$K$792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C793" i="6"/>
  <c r="G12" i="6" l="1"/>
  <c r="J3" i="6"/>
  <c r="G13" i="6" l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 s="1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537" i="6" s="1"/>
  <c r="G538" i="6" s="1"/>
  <c r="G539" i="6" s="1"/>
  <c r="G540" i="6" s="1"/>
  <c r="G541" i="6" s="1"/>
  <c r="G542" i="6" s="1"/>
  <c r="G543" i="6" s="1"/>
  <c r="G544" i="6" s="1"/>
  <c r="G545" i="6" s="1"/>
  <c r="G546" i="6" s="1"/>
  <c r="G547" i="6" s="1"/>
  <c r="G548" i="6" s="1"/>
  <c r="G549" i="6" s="1"/>
  <c r="G550" i="6" s="1"/>
  <c r="G551" i="6" s="1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62" i="6" s="1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573" i="6" s="1"/>
  <c r="G574" i="6" s="1"/>
  <c r="G575" i="6" s="1"/>
  <c r="G576" i="6" s="1"/>
  <c r="G577" i="6" s="1"/>
  <c r="G578" i="6" s="1"/>
  <c r="G579" i="6" s="1"/>
  <c r="G580" i="6" s="1"/>
  <c r="G581" i="6" s="1"/>
  <c r="G582" i="6" s="1"/>
  <c r="G583" i="6" s="1"/>
  <c r="G584" i="6" s="1"/>
  <c r="G585" i="6" s="1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607" i="6" s="1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 s="1"/>
  <c r="G620" i="6" s="1"/>
  <c r="G621" i="6" s="1"/>
  <c r="G622" i="6" s="1"/>
  <c r="G623" i="6" s="1"/>
  <c r="G624" i="6" s="1"/>
  <c r="G625" i="6" s="1"/>
  <c r="G626" i="6" s="1"/>
  <c r="G627" i="6" s="1"/>
  <c r="G628" i="6" s="1"/>
  <c r="G629" i="6" s="1"/>
  <c r="G630" i="6" s="1"/>
  <c r="G631" i="6" s="1"/>
  <c r="G632" i="6" s="1"/>
  <c r="G633" i="6" s="1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 s="1"/>
  <c r="G648" i="6" s="1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663" i="6" s="1"/>
  <c r="G664" i="6" s="1"/>
  <c r="G665" i="6" s="1"/>
  <c r="G666" i="6" s="1"/>
  <c r="G667" i="6" s="1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 s="1"/>
  <c r="G691" i="6" s="1"/>
  <c r="G692" i="6" s="1"/>
  <c r="G693" i="6" s="1"/>
  <c r="G694" i="6" s="1"/>
  <c r="G695" i="6" s="1"/>
  <c r="G696" i="6" s="1"/>
  <c r="G697" i="6" s="1"/>
  <c r="G698" i="6" s="1"/>
  <c r="G699" i="6" s="1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714" i="6" s="1"/>
  <c r="G715" i="6" s="1"/>
  <c r="G716" i="6" s="1"/>
  <c r="G717" i="6" s="1"/>
  <c r="G718" i="6" s="1"/>
  <c r="G719" i="6" s="1"/>
  <c r="G720" i="6" s="1"/>
  <c r="G721" i="6" s="1"/>
  <c r="G722" i="6" s="1"/>
  <c r="G723" i="6" s="1"/>
  <c r="G724" i="6" s="1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  <c r="G736" i="6" s="1"/>
  <c r="G737" i="6" s="1"/>
  <c r="G738" i="6" s="1"/>
  <c r="G739" i="6" s="1"/>
  <c r="G740" i="6" s="1"/>
  <c r="G741" i="6" s="1"/>
  <c r="G742" i="6" s="1"/>
  <c r="G743" i="6" s="1"/>
  <c r="G744" i="6" s="1"/>
  <c r="G745" i="6" s="1"/>
  <c r="G746" i="6" s="1"/>
  <c r="G747" i="6" s="1"/>
  <c r="G748" i="6" s="1"/>
  <c r="G749" i="6" s="1"/>
  <c r="G750" i="6" s="1"/>
  <c r="G751" i="6" s="1"/>
  <c r="G752" i="6" s="1"/>
  <c r="G753" i="6" s="1"/>
  <c r="G754" i="6" s="1"/>
  <c r="G755" i="6" s="1"/>
  <c r="G756" i="6" s="1"/>
  <c r="G757" i="6" s="1"/>
  <c r="G758" i="6" s="1"/>
  <c r="G759" i="6" s="1"/>
  <c r="G760" i="6" s="1"/>
  <c r="G761" i="6" s="1"/>
  <c r="G762" i="6" s="1"/>
  <c r="G763" i="6" s="1"/>
  <c r="G764" i="6" s="1"/>
  <c r="G765" i="6" s="1"/>
  <c r="G766" i="6" s="1"/>
  <c r="G767" i="6" s="1"/>
  <c r="G768" i="6" s="1"/>
  <c r="G769" i="6" s="1"/>
  <c r="G770" i="6" s="1"/>
  <c r="G771" i="6" s="1"/>
  <c r="G772" i="6" s="1"/>
  <c r="G773" i="6" s="1"/>
  <c r="G774" i="6" s="1"/>
  <c r="G775" i="6" s="1"/>
  <c r="G776" i="6" s="1"/>
  <c r="G777" i="6" s="1"/>
  <c r="G778" i="6" s="1"/>
  <c r="G779" i="6" s="1"/>
  <c r="G780" i="6" s="1"/>
  <c r="G781" i="6" s="1"/>
  <c r="G782" i="6" s="1"/>
  <c r="G783" i="6" s="1"/>
  <c r="G784" i="6" s="1"/>
  <c r="G785" i="6" s="1"/>
  <c r="G786" i="6" s="1"/>
  <c r="G787" i="6" s="1"/>
  <c r="G788" i="6" s="1"/>
  <c r="G789" i="6" s="1"/>
  <c r="G790" i="6" s="1"/>
  <c r="G791" i="6" s="1"/>
  <c r="G792" i="6" s="1"/>
  <c r="I3" i="6" l="1" a="1"/>
  <c r="I3" i="6" s="1"/>
  <c r="C5" i="6" s="1"/>
  <c r="H12" i="6" l="1"/>
  <c r="I12" i="6" s="1"/>
  <c r="J12" i="6" s="1"/>
  <c r="H16" i="6"/>
  <c r="I16" i="6" s="1"/>
  <c r="H14" i="6"/>
  <c r="I14" i="6" s="1"/>
  <c r="H15" i="6"/>
  <c r="I15" i="6" s="1"/>
  <c r="H18" i="6"/>
  <c r="I18" i="6" s="1"/>
  <c r="J18" i="6" s="1"/>
  <c r="H13" i="6"/>
  <c r="I13" i="6" s="1"/>
  <c r="H17" i="6"/>
  <c r="I17" i="6" s="1"/>
  <c r="J17" i="6" s="1"/>
  <c r="H20" i="6"/>
  <c r="I20" i="6" s="1"/>
  <c r="H19" i="6"/>
  <c r="I19" i="6" s="1"/>
  <c r="J19" i="6" s="1"/>
  <c r="H26" i="6"/>
  <c r="I26" i="6" s="1"/>
  <c r="H22" i="6"/>
  <c r="I22" i="6" s="1"/>
  <c r="H235" i="6"/>
  <c r="I235" i="6" s="1"/>
  <c r="H25" i="6"/>
  <c r="I25" i="6" s="1"/>
  <c r="H24" i="6"/>
  <c r="I24" i="6" s="1"/>
  <c r="H28" i="6"/>
  <c r="I28" i="6" s="1"/>
  <c r="H21" i="6"/>
  <c r="I21" i="6" s="1"/>
  <c r="J21" i="6" s="1"/>
  <c r="H23" i="6"/>
  <c r="I23" i="6" s="1"/>
  <c r="J23" i="6" s="1"/>
  <c r="H27" i="6"/>
  <c r="I27" i="6" s="1"/>
  <c r="J27" i="6" s="1"/>
  <c r="H32" i="6"/>
  <c r="I32" i="6" s="1"/>
  <c r="H46" i="6"/>
  <c r="I46" i="6" s="1"/>
  <c r="H50" i="6"/>
  <c r="I50" i="6" s="1"/>
  <c r="J50" i="6" s="1"/>
  <c r="H54" i="6"/>
  <c r="I54" i="6" s="1"/>
  <c r="J54" i="6" s="1"/>
  <c r="H61" i="6"/>
  <c r="I61" i="6" s="1"/>
  <c r="H65" i="6"/>
  <c r="I65" i="6" s="1"/>
  <c r="H35" i="6"/>
  <c r="I35" i="6" s="1"/>
  <c r="H42" i="6"/>
  <c r="I42" i="6" s="1"/>
  <c r="J42" i="6" s="1"/>
  <c r="H57" i="6"/>
  <c r="I57" i="6" s="1"/>
  <c r="H67" i="6"/>
  <c r="I67" i="6" s="1"/>
  <c r="H38" i="6"/>
  <c r="I38" i="6" s="1"/>
  <c r="H45" i="6"/>
  <c r="I45" i="6" s="1"/>
  <c r="H49" i="6"/>
  <c r="I49" i="6" s="1"/>
  <c r="H64" i="6"/>
  <c r="I64" i="6" s="1"/>
  <c r="H30" i="6"/>
  <c r="I30" i="6" s="1"/>
  <c r="H34" i="6"/>
  <c r="I34" i="6" s="1"/>
  <c r="H44" i="6"/>
  <c r="I44" i="6" s="1"/>
  <c r="H48" i="6"/>
  <c r="I48" i="6" s="1"/>
  <c r="H52" i="6"/>
  <c r="I52" i="6" s="1"/>
  <c r="H56" i="6"/>
  <c r="I56" i="6" s="1"/>
  <c r="H63" i="6"/>
  <c r="I63" i="6" s="1"/>
  <c r="H66" i="6"/>
  <c r="I66" i="6" s="1"/>
  <c r="H29" i="6"/>
  <c r="I29" i="6" s="1"/>
  <c r="H33" i="6"/>
  <c r="I33" i="6" s="1"/>
  <c r="H37" i="6"/>
  <c r="I37" i="6" s="1"/>
  <c r="H40" i="6"/>
  <c r="I40" i="6" s="1"/>
  <c r="H59" i="6"/>
  <c r="I59" i="6" s="1"/>
  <c r="H31" i="6"/>
  <c r="I31" i="6" s="1"/>
  <c r="J31" i="6" s="1"/>
  <c r="H43" i="6"/>
  <c r="I43" i="6" s="1"/>
  <c r="H47" i="6"/>
  <c r="I47" i="6" s="1"/>
  <c r="H51" i="6"/>
  <c r="I51" i="6" s="1"/>
  <c r="H55" i="6"/>
  <c r="I55" i="6" s="1"/>
  <c r="H62" i="6"/>
  <c r="I62" i="6" s="1"/>
  <c r="H36" i="6"/>
  <c r="I36" i="6" s="1"/>
  <c r="J36" i="6" s="1"/>
  <c r="H39" i="6"/>
  <c r="I39" i="6" s="1"/>
  <c r="H58" i="6"/>
  <c r="I58" i="6" s="1"/>
  <c r="J58" i="6" s="1"/>
  <c r="H69" i="6"/>
  <c r="I69" i="6" s="1"/>
  <c r="H68" i="6"/>
  <c r="I68" i="6" s="1"/>
  <c r="H53" i="6"/>
  <c r="I53" i="6" s="1"/>
  <c r="H41" i="6"/>
  <c r="I41" i="6" s="1"/>
  <c r="H60" i="6"/>
  <c r="I60" i="6" s="1"/>
  <c r="H70" i="6"/>
  <c r="I70" i="6" s="1"/>
  <c r="H72" i="6"/>
  <c r="I72" i="6" s="1"/>
  <c r="H75" i="6"/>
  <c r="I75" i="6" s="1"/>
  <c r="H78" i="6"/>
  <c r="I78" i="6" s="1"/>
  <c r="H85" i="6"/>
  <c r="I85" i="6" s="1"/>
  <c r="H101" i="6"/>
  <c r="I101" i="6" s="1"/>
  <c r="H103" i="6"/>
  <c r="I103" i="6" s="1"/>
  <c r="H81" i="6"/>
  <c r="I81" i="6" s="1"/>
  <c r="H88" i="6"/>
  <c r="I88" i="6" s="1"/>
  <c r="H91" i="6"/>
  <c r="I91" i="6" s="1"/>
  <c r="H95" i="6"/>
  <c r="I95" i="6" s="1"/>
  <c r="H108" i="6"/>
  <c r="I108" i="6" s="1"/>
  <c r="H117" i="6"/>
  <c r="I117" i="6" s="1"/>
  <c r="H122" i="6"/>
  <c r="I122" i="6" s="1"/>
  <c r="H127" i="6"/>
  <c r="I127" i="6" s="1"/>
  <c r="H136" i="6"/>
  <c r="I136" i="6" s="1"/>
  <c r="H141" i="6"/>
  <c r="I141" i="6" s="1"/>
  <c r="H71" i="6"/>
  <c r="I71" i="6" s="1"/>
  <c r="H74" i="6"/>
  <c r="I74" i="6" s="1"/>
  <c r="H84" i="6"/>
  <c r="I84" i="6" s="1"/>
  <c r="H98" i="6"/>
  <c r="I98" i="6" s="1"/>
  <c r="H105" i="6"/>
  <c r="I105" i="6" s="1"/>
  <c r="J105" i="6" s="1"/>
  <c r="H110" i="6"/>
  <c r="I110" i="6" s="1"/>
  <c r="H115" i="6"/>
  <c r="I115" i="6" s="1"/>
  <c r="H119" i="6"/>
  <c r="I119" i="6" s="1"/>
  <c r="H134" i="6"/>
  <c r="I134" i="6" s="1"/>
  <c r="J134" i="6" s="1"/>
  <c r="H77" i="6"/>
  <c r="I77" i="6" s="1"/>
  <c r="H80" i="6"/>
  <c r="I80" i="6" s="1"/>
  <c r="H94" i="6"/>
  <c r="I94" i="6" s="1"/>
  <c r="H100" i="6"/>
  <c r="I100" i="6" s="1"/>
  <c r="H102" i="6"/>
  <c r="I102" i="6" s="1"/>
  <c r="H112" i="6"/>
  <c r="I112" i="6" s="1"/>
  <c r="J112" i="6" s="1"/>
  <c r="H124" i="6"/>
  <c r="I124" i="6" s="1"/>
  <c r="H129" i="6"/>
  <c r="I129" i="6" s="1"/>
  <c r="H131" i="6"/>
  <c r="I131" i="6" s="1"/>
  <c r="H137" i="6"/>
  <c r="I137" i="6" s="1"/>
  <c r="H139" i="6"/>
  <c r="I139" i="6" s="1"/>
  <c r="H140" i="6"/>
  <c r="I140" i="6" s="1"/>
  <c r="H73" i="6"/>
  <c r="I73" i="6" s="1"/>
  <c r="H83" i="6"/>
  <c r="I83" i="6" s="1"/>
  <c r="H87" i="6"/>
  <c r="I87" i="6" s="1"/>
  <c r="H90" i="6"/>
  <c r="I90" i="6" s="1"/>
  <c r="H107" i="6"/>
  <c r="I107" i="6" s="1"/>
  <c r="H93" i="6"/>
  <c r="I93" i="6" s="1"/>
  <c r="H97" i="6"/>
  <c r="I97" i="6" s="1"/>
  <c r="J97" i="6" s="1"/>
  <c r="H104" i="6"/>
  <c r="I104" i="6" s="1"/>
  <c r="H114" i="6"/>
  <c r="I114" i="6" s="1"/>
  <c r="H118" i="6"/>
  <c r="I118" i="6" s="1"/>
  <c r="H126" i="6"/>
  <c r="I126" i="6" s="1"/>
  <c r="H133" i="6"/>
  <c r="I133" i="6" s="1"/>
  <c r="H76" i="6"/>
  <c r="I76" i="6" s="1"/>
  <c r="H79" i="6"/>
  <c r="I79" i="6" s="1"/>
  <c r="H86" i="6"/>
  <c r="I86" i="6" s="1"/>
  <c r="H89" i="6"/>
  <c r="I89" i="6" s="1"/>
  <c r="J89" i="6" s="1"/>
  <c r="H99" i="6"/>
  <c r="I99" i="6" s="1"/>
  <c r="H109" i="6"/>
  <c r="I109" i="6" s="1"/>
  <c r="H116" i="6"/>
  <c r="I116" i="6" s="1"/>
  <c r="H123" i="6"/>
  <c r="I123" i="6" s="1"/>
  <c r="J123" i="6" s="1"/>
  <c r="H128" i="6"/>
  <c r="I128" i="6" s="1"/>
  <c r="J128" i="6" s="1"/>
  <c r="H130" i="6"/>
  <c r="I130" i="6" s="1"/>
  <c r="H135" i="6"/>
  <c r="I135" i="6" s="1"/>
  <c r="H82" i="6"/>
  <c r="I82" i="6" s="1"/>
  <c r="H92" i="6"/>
  <c r="I92" i="6" s="1"/>
  <c r="H96" i="6"/>
  <c r="I96" i="6" s="1"/>
  <c r="H106" i="6"/>
  <c r="I106" i="6" s="1"/>
  <c r="J106" i="6" s="1"/>
  <c r="H111" i="6"/>
  <c r="I111" i="6" s="1"/>
  <c r="H120" i="6"/>
  <c r="I120" i="6" s="1"/>
  <c r="J120" i="6" s="1"/>
  <c r="H143" i="6"/>
  <c r="I143" i="6" s="1"/>
  <c r="H191" i="6"/>
  <c r="I191" i="6" s="1"/>
  <c r="H207" i="6"/>
  <c r="I207" i="6" s="1"/>
  <c r="H210" i="6"/>
  <c r="I210" i="6" s="1"/>
  <c r="H216" i="6"/>
  <c r="I216" i="6" s="1"/>
  <c r="H217" i="6"/>
  <c r="I217" i="6" s="1"/>
  <c r="H223" i="6"/>
  <c r="I223" i="6" s="1"/>
  <c r="H232" i="6"/>
  <c r="I232" i="6" s="1"/>
  <c r="J232" i="6" s="1"/>
  <c r="H237" i="6"/>
  <c r="I237" i="6" s="1"/>
  <c r="H249" i="6"/>
  <c r="I249" i="6" s="1"/>
  <c r="H264" i="6"/>
  <c r="I264" i="6" s="1"/>
  <c r="H272" i="6"/>
  <c r="I272" i="6" s="1"/>
  <c r="H301" i="6"/>
  <c r="I301" i="6" s="1"/>
  <c r="H113" i="6"/>
  <c r="I113" i="6" s="1"/>
  <c r="H149" i="6"/>
  <c r="I149" i="6" s="1"/>
  <c r="H161" i="6"/>
  <c r="I161" i="6" s="1"/>
  <c r="H163" i="6"/>
  <c r="I163" i="6" s="1"/>
  <c r="H167" i="6"/>
  <c r="I167" i="6" s="1"/>
  <c r="H171" i="6"/>
  <c r="I171" i="6" s="1"/>
  <c r="H181" i="6"/>
  <c r="I181" i="6" s="1"/>
  <c r="J181" i="6" s="1"/>
  <c r="H187" i="6"/>
  <c r="I187" i="6" s="1"/>
  <c r="H192" i="6"/>
  <c r="I192" i="6" s="1"/>
  <c r="H193" i="6"/>
  <c r="I193" i="6" s="1"/>
  <c r="H205" i="6"/>
  <c r="I205" i="6" s="1"/>
  <c r="H213" i="6"/>
  <c r="I213" i="6" s="1"/>
  <c r="H224" i="6"/>
  <c r="I224" i="6" s="1"/>
  <c r="H241" i="6"/>
  <c r="I241" i="6" s="1"/>
  <c r="H245" i="6"/>
  <c r="I245" i="6" s="1"/>
  <c r="H251" i="6"/>
  <c r="I251" i="6" s="1"/>
  <c r="H257" i="6"/>
  <c r="I257" i="6" s="1"/>
  <c r="J257" i="6" s="1"/>
  <c r="H259" i="6"/>
  <c r="I259" i="6" s="1"/>
  <c r="H261" i="6"/>
  <c r="I261" i="6" s="1"/>
  <c r="H279" i="6"/>
  <c r="I279" i="6" s="1"/>
  <c r="H283" i="6"/>
  <c r="I283" i="6" s="1"/>
  <c r="H286" i="6"/>
  <c r="I286" i="6" s="1"/>
  <c r="H290" i="6"/>
  <c r="I290" i="6" s="1"/>
  <c r="H293" i="6"/>
  <c r="I293" i="6" s="1"/>
  <c r="H298" i="6"/>
  <c r="I298" i="6" s="1"/>
  <c r="H306" i="6"/>
  <c r="I306" i="6" s="1"/>
  <c r="H148" i="6"/>
  <c r="I148" i="6" s="1"/>
  <c r="H153" i="6"/>
  <c r="I153" i="6" s="1"/>
  <c r="H158" i="6"/>
  <c r="I158" i="6" s="1"/>
  <c r="H169" i="6"/>
  <c r="I169" i="6" s="1"/>
  <c r="H198" i="6"/>
  <c r="I198" i="6" s="1"/>
  <c r="H201" i="6"/>
  <c r="I201" i="6" s="1"/>
  <c r="H203" i="6"/>
  <c r="I203" i="6" s="1"/>
  <c r="H218" i="6"/>
  <c r="I218" i="6" s="1"/>
  <c r="J218" i="6" s="1"/>
  <c r="H225" i="6"/>
  <c r="I225" i="6" s="1"/>
  <c r="H230" i="6"/>
  <c r="I230" i="6" s="1"/>
  <c r="H236" i="6"/>
  <c r="I236" i="6" s="1"/>
  <c r="H248" i="6"/>
  <c r="I248" i="6" s="1"/>
  <c r="H253" i="6"/>
  <c r="I253" i="6" s="1"/>
  <c r="H255" i="6"/>
  <c r="I255" i="6" s="1"/>
  <c r="J255" i="6" s="1"/>
  <c r="H265" i="6"/>
  <c r="I265" i="6" s="1"/>
  <c r="H278" i="6"/>
  <c r="I278" i="6" s="1"/>
  <c r="H303" i="6"/>
  <c r="I303" i="6" s="1"/>
  <c r="H121" i="6"/>
  <c r="I121" i="6" s="1"/>
  <c r="H147" i="6"/>
  <c r="I147" i="6" s="1"/>
  <c r="J147" i="6" s="1"/>
  <c r="H151" i="6"/>
  <c r="I151" i="6" s="1"/>
  <c r="H164" i="6"/>
  <c r="I164" i="6" s="1"/>
  <c r="H179" i="6"/>
  <c r="I179" i="6" s="1"/>
  <c r="H186" i="6"/>
  <c r="I186" i="6" s="1"/>
  <c r="H189" i="6"/>
  <c r="I189" i="6" s="1"/>
  <c r="H197" i="6"/>
  <c r="I197" i="6" s="1"/>
  <c r="H208" i="6"/>
  <c r="I208" i="6" s="1"/>
  <c r="H211" i="6"/>
  <c r="I211" i="6" s="1"/>
  <c r="H226" i="6"/>
  <c r="I226" i="6" s="1"/>
  <c r="H229" i="6"/>
  <c r="I229" i="6" s="1"/>
  <c r="H240" i="6"/>
  <c r="I240" i="6" s="1"/>
  <c r="H244" i="6"/>
  <c r="I244" i="6" s="1"/>
  <c r="H277" i="6"/>
  <c r="I277" i="6" s="1"/>
  <c r="H282" i="6"/>
  <c r="I282" i="6" s="1"/>
  <c r="H289" i="6"/>
  <c r="I289" i="6" s="1"/>
  <c r="H295" i="6"/>
  <c r="I295" i="6" s="1"/>
  <c r="H300" i="6"/>
  <c r="I300" i="6" s="1"/>
  <c r="H146" i="6"/>
  <c r="I146" i="6" s="1"/>
  <c r="H154" i="6"/>
  <c r="I154" i="6" s="1"/>
  <c r="H160" i="6"/>
  <c r="I160" i="6" s="1"/>
  <c r="H166" i="6"/>
  <c r="I166" i="6" s="1"/>
  <c r="H172" i="6"/>
  <c r="I172" i="6" s="1"/>
  <c r="H182" i="6"/>
  <c r="I182" i="6" s="1"/>
  <c r="H185" i="6"/>
  <c r="I185" i="6" s="1"/>
  <c r="H196" i="6"/>
  <c r="I196" i="6" s="1"/>
  <c r="H206" i="6"/>
  <c r="I206" i="6" s="1"/>
  <c r="J206" i="6" s="1"/>
  <c r="H214" i="6"/>
  <c r="I214" i="6" s="1"/>
  <c r="H219" i="6"/>
  <c r="I219" i="6" s="1"/>
  <c r="H227" i="6"/>
  <c r="I227" i="6" s="1"/>
  <c r="H228" i="6"/>
  <c r="I228" i="6" s="1"/>
  <c r="J228" i="6" s="1"/>
  <c r="H247" i="6"/>
  <c r="I247" i="6" s="1"/>
  <c r="H262" i="6"/>
  <c r="I262" i="6" s="1"/>
  <c r="H266" i="6"/>
  <c r="I266" i="6" s="1"/>
  <c r="J266" i="6" s="1"/>
  <c r="H252" i="6"/>
  <c r="I252" i="6" s="1"/>
  <c r="H276" i="6"/>
  <c r="I276" i="6" s="1"/>
  <c r="H285" i="6"/>
  <c r="I285" i="6" s="1"/>
  <c r="H292" i="6"/>
  <c r="I292" i="6" s="1"/>
  <c r="H297" i="6"/>
  <c r="I297" i="6" s="1"/>
  <c r="H305" i="6"/>
  <c r="I305" i="6" s="1"/>
  <c r="H125" i="6"/>
  <c r="I125" i="6" s="1"/>
  <c r="H132" i="6"/>
  <c r="I132" i="6" s="1"/>
  <c r="H142" i="6"/>
  <c r="I142" i="6" s="1"/>
  <c r="H157" i="6"/>
  <c r="I157" i="6" s="1"/>
  <c r="H162" i="6"/>
  <c r="I162" i="6" s="1"/>
  <c r="H165" i="6"/>
  <c r="I165" i="6" s="1"/>
  <c r="H178" i="6"/>
  <c r="I178" i="6" s="1"/>
  <c r="H183" i="6"/>
  <c r="I183" i="6" s="1"/>
  <c r="H184" i="6"/>
  <c r="I184" i="6" s="1"/>
  <c r="H195" i="6"/>
  <c r="I195" i="6" s="1"/>
  <c r="H200" i="6"/>
  <c r="I200" i="6" s="1"/>
  <c r="H220" i="6"/>
  <c r="I220" i="6" s="1"/>
  <c r="H239" i="6"/>
  <c r="I239" i="6" s="1"/>
  <c r="J239" i="6" s="1"/>
  <c r="H243" i="6"/>
  <c r="I243" i="6" s="1"/>
  <c r="H250" i="6"/>
  <c r="I250" i="6" s="1"/>
  <c r="H258" i="6"/>
  <c r="I258" i="6" s="1"/>
  <c r="H260" i="6"/>
  <c r="I260" i="6" s="1"/>
  <c r="H267" i="6"/>
  <c r="I267" i="6" s="1"/>
  <c r="H275" i="6"/>
  <c r="I275" i="6" s="1"/>
  <c r="H281" i="6"/>
  <c r="I281" i="6" s="1"/>
  <c r="H288" i="6"/>
  <c r="I288" i="6" s="1"/>
  <c r="H302" i="6"/>
  <c r="I302" i="6" s="1"/>
  <c r="H145" i="6"/>
  <c r="I145" i="6" s="1"/>
  <c r="H150" i="6"/>
  <c r="I150" i="6" s="1"/>
  <c r="H155" i="6"/>
  <c r="I155" i="6" s="1"/>
  <c r="H156" i="6"/>
  <c r="I156" i="6" s="1"/>
  <c r="H168" i="6"/>
  <c r="I168" i="6" s="1"/>
  <c r="H170" i="6"/>
  <c r="I170" i="6" s="1"/>
  <c r="H173" i="6"/>
  <c r="I173" i="6" s="1"/>
  <c r="H174" i="6"/>
  <c r="I174" i="6" s="1"/>
  <c r="H175" i="6"/>
  <c r="I175" i="6" s="1"/>
  <c r="H176" i="6"/>
  <c r="I176" i="6" s="1"/>
  <c r="H177" i="6"/>
  <c r="I177" i="6" s="1"/>
  <c r="H180" i="6"/>
  <c r="I180" i="6" s="1"/>
  <c r="H188" i="6"/>
  <c r="I188" i="6" s="1"/>
  <c r="H194" i="6"/>
  <c r="I194" i="6" s="1"/>
  <c r="H202" i="6"/>
  <c r="I202" i="6" s="1"/>
  <c r="H204" i="6"/>
  <c r="I204" i="6" s="1"/>
  <c r="H209" i="6"/>
  <c r="I209" i="6" s="1"/>
  <c r="H212" i="6"/>
  <c r="I212" i="6" s="1"/>
  <c r="H215" i="6"/>
  <c r="I215" i="6" s="1"/>
  <c r="H221" i="6"/>
  <c r="I221" i="6" s="1"/>
  <c r="H234" i="6"/>
  <c r="I234" i="6" s="1"/>
  <c r="H238" i="6"/>
  <c r="I238" i="6" s="1"/>
  <c r="H246" i="6"/>
  <c r="I246" i="6" s="1"/>
  <c r="H254" i="6"/>
  <c r="I254" i="6" s="1"/>
  <c r="H256" i="6"/>
  <c r="I256" i="6" s="1"/>
  <c r="H263" i="6"/>
  <c r="I263" i="6" s="1"/>
  <c r="H268" i="6"/>
  <c r="I268" i="6" s="1"/>
  <c r="H269" i="6"/>
  <c r="I269" i="6" s="1"/>
  <c r="H270" i="6"/>
  <c r="I270" i="6" s="1"/>
  <c r="H271" i="6"/>
  <c r="I271" i="6" s="1"/>
  <c r="H274" i="6"/>
  <c r="I274" i="6" s="1"/>
  <c r="H294" i="6"/>
  <c r="I294" i="6" s="1"/>
  <c r="H299" i="6"/>
  <c r="I299" i="6" s="1"/>
  <c r="H138" i="6"/>
  <c r="I138" i="6" s="1"/>
  <c r="H144" i="6"/>
  <c r="I144" i="6" s="1"/>
  <c r="H152" i="6"/>
  <c r="I152" i="6" s="1"/>
  <c r="H159" i="6"/>
  <c r="I159" i="6" s="1"/>
  <c r="J159" i="6" s="1"/>
  <c r="H190" i="6"/>
  <c r="I190" i="6" s="1"/>
  <c r="H199" i="6"/>
  <c r="I199" i="6" s="1"/>
  <c r="H222" i="6"/>
  <c r="I222" i="6" s="1"/>
  <c r="H231" i="6"/>
  <c r="I231" i="6" s="1"/>
  <c r="H233" i="6"/>
  <c r="I233" i="6" s="1"/>
  <c r="H242" i="6"/>
  <c r="I242" i="6" s="1"/>
  <c r="H273" i="6"/>
  <c r="I273" i="6" s="1"/>
  <c r="H280" i="6"/>
  <c r="I280" i="6" s="1"/>
  <c r="H284" i="6"/>
  <c r="I284" i="6" s="1"/>
  <c r="H287" i="6"/>
  <c r="I287" i="6" s="1"/>
  <c r="H291" i="6"/>
  <c r="I291" i="6" s="1"/>
  <c r="H296" i="6"/>
  <c r="I296" i="6" s="1"/>
  <c r="H304" i="6"/>
  <c r="I304" i="6" s="1"/>
  <c r="H307" i="6"/>
  <c r="I307" i="6" s="1"/>
  <c r="H308" i="6"/>
  <c r="I308" i="6" s="1"/>
  <c r="H309" i="6"/>
  <c r="I309" i="6" s="1"/>
  <c r="H310" i="6"/>
  <c r="I310" i="6" s="1"/>
  <c r="H311" i="6"/>
  <c r="I311" i="6" s="1"/>
  <c r="H312" i="6"/>
  <c r="I312" i="6" s="1"/>
  <c r="H313" i="6"/>
  <c r="I313" i="6" s="1"/>
  <c r="H314" i="6"/>
  <c r="I314" i="6" s="1"/>
  <c r="H315" i="6"/>
  <c r="I315" i="6" s="1"/>
  <c r="H316" i="6"/>
  <c r="I316" i="6" s="1"/>
  <c r="H317" i="6"/>
  <c r="I317" i="6" s="1"/>
  <c r="H318" i="6"/>
  <c r="I318" i="6" s="1"/>
  <c r="H319" i="6"/>
  <c r="I319" i="6" s="1"/>
  <c r="H320" i="6"/>
  <c r="I320" i="6" s="1"/>
  <c r="H321" i="6"/>
  <c r="I321" i="6" s="1"/>
  <c r="H322" i="6"/>
  <c r="I322" i="6" s="1"/>
  <c r="H323" i="6"/>
  <c r="I323" i="6" s="1"/>
  <c r="H324" i="6"/>
  <c r="I324" i="6" s="1"/>
  <c r="H325" i="6"/>
  <c r="I325" i="6" s="1"/>
  <c r="H326" i="6"/>
  <c r="I326" i="6" s="1"/>
  <c r="H327" i="6"/>
  <c r="I327" i="6" s="1"/>
  <c r="H328" i="6"/>
  <c r="I328" i="6" s="1"/>
  <c r="H329" i="6"/>
  <c r="I329" i="6" s="1"/>
  <c r="H330" i="6"/>
  <c r="I330" i="6" s="1"/>
  <c r="H331" i="6"/>
  <c r="I331" i="6" s="1"/>
  <c r="H332" i="6"/>
  <c r="I332" i="6" s="1"/>
  <c r="H333" i="6"/>
  <c r="I333" i="6" s="1"/>
  <c r="H334" i="6"/>
  <c r="I334" i="6" s="1"/>
  <c r="H335" i="6"/>
  <c r="I335" i="6" s="1"/>
  <c r="H336" i="6"/>
  <c r="I336" i="6" s="1"/>
  <c r="H337" i="6"/>
  <c r="I337" i="6" s="1"/>
  <c r="H338" i="6"/>
  <c r="I338" i="6" s="1"/>
  <c r="H339" i="6"/>
  <c r="I339" i="6" s="1"/>
  <c r="H340" i="6"/>
  <c r="I340" i="6" s="1"/>
  <c r="H341" i="6"/>
  <c r="I341" i="6" s="1"/>
  <c r="H342" i="6"/>
  <c r="I342" i="6" s="1"/>
  <c r="H343" i="6"/>
  <c r="I343" i="6" s="1"/>
  <c r="H344" i="6"/>
  <c r="I344" i="6" s="1"/>
  <c r="H345" i="6"/>
  <c r="I345" i="6" s="1"/>
  <c r="H346" i="6"/>
  <c r="I346" i="6" s="1"/>
  <c r="H347" i="6"/>
  <c r="I347" i="6" s="1"/>
  <c r="H348" i="6"/>
  <c r="I348" i="6" s="1"/>
  <c r="H349" i="6"/>
  <c r="I349" i="6" s="1"/>
  <c r="H350" i="6"/>
  <c r="I350" i="6" s="1"/>
  <c r="H351" i="6"/>
  <c r="I351" i="6" s="1"/>
  <c r="H352" i="6"/>
  <c r="I352" i="6" s="1"/>
  <c r="H353" i="6"/>
  <c r="I353" i="6" s="1"/>
  <c r="H354" i="6"/>
  <c r="I354" i="6" s="1"/>
  <c r="H355" i="6"/>
  <c r="I355" i="6" s="1"/>
  <c r="H356" i="6"/>
  <c r="I356" i="6" s="1"/>
  <c r="H357" i="6"/>
  <c r="I357" i="6" s="1"/>
  <c r="H358" i="6"/>
  <c r="I358" i="6" s="1"/>
  <c r="H359" i="6"/>
  <c r="I359" i="6" s="1"/>
  <c r="H360" i="6"/>
  <c r="I360" i="6" s="1"/>
  <c r="H361" i="6"/>
  <c r="I361" i="6" s="1"/>
  <c r="H362" i="6"/>
  <c r="I362" i="6" s="1"/>
  <c r="H363" i="6"/>
  <c r="I363" i="6" s="1"/>
  <c r="H364" i="6"/>
  <c r="I364" i="6" s="1"/>
  <c r="H365" i="6"/>
  <c r="I365" i="6" s="1"/>
  <c r="H366" i="6"/>
  <c r="I366" i="6" s="1"/>
  <c r="H367" i="6"/>
  <c r="I367" i="6" s="1"/>
  <c r="H368" i="6"/>
  <c r="I368" i="6" s="1"/>
  <c r="H369" i="6"/>
  <c r="I369" i="6" s="1"/>
  <c r="H370" i="6"/>
  <c r="I370" i="6" s="1"/>
  <c r="H371" i="6"/>
  <c r="I371" i="6" s="1"/>
  <c r="H372" i="6"/>
  <c r="I372" i="6" s="1"/>
  <c r="H373" i="6"/>
  <c r="I373" i="6" s="1"/>
  <c r="H374" i="6"/>
  <c r="I374" i="6" s="1"/>
  <c r="H375" i="6"/>
  <c r="I375" i="6" s="1"/>
  <c r="H376" i="6"/>
  <c r="I376" i="6" s="1"/>
  <c r="H377" i="6"/>
  <c r="I377" i="6" s="1"/>
  <c r="H378" i="6"/>
  <c r="I378" i="6" s="1"/>
  <c r="H379" i="6"/>
  <c r="I379" i="6" s="1"/>
  <c r="H380" i="6"/>
  <c r="I380" i="6" s="1"/>
  <c r="H381" i="6"/>
  <c r="I381" i="6" s="1"/>
  <c r="H382" i="6"/>
  <c r="I382" i="6" s="1"/>
  <c r="H383" i="6"/>
  <c r="I383" i="6" s="1"/>
  <c r="H384" i="6"/>
  <c r="I384" i="6" s="1"/>
  <c r="H385" i="6"/>
  <c r="I385" i="6" s="1"/>
  <c r="H386" i="6"/>
  <c r="I386" i="6" s="1"/>
  <c r="H387" i="6"/>
  <c r="I387" i="6" s="1"/>
  <c r="H388" i="6"/>
  <c r="I388" i="6" s="1"/>
  <c r="H389" i="6"/>
  <c r="I389" i="6" s="1"/>
  <c r="H390" i="6"/>
  <c r="I390" i="6" s="1"/>
  <c r="H391" i="6"/>
  <c r="I391" i="6" s="1"/>
  <c r="H392" i="6"/>
  <c r="I392" i="6" s="1"/>
  <c r="H393" i="6"/>
  <c r="I393" i="6" s="1"/>
  <c r="H394" i="6"/>
  <c r="I394" i="6" s="1"/>
  <c r="H395" i="6"/>
  <c r="I395" i="6" s="1"/>
  <c r="H396" i="6"/>
  <c r="I396" i="6" s="1"/>
  <c r="H397" i="6"/>
  <c r="I397" i="6" s="1"/>
  <c r="H398" i="6"/>
  <c r="I398" i="6" s="1"/>
  <c r="H399" i="6"/>
  <c r="I399" i="6" s="1"/>
  <c r="H400" i="6"/>
  <c r="I400" i="6" s="1"/>
  <c r="H401" i="6"/>
  <c r="I401" i="6" s="1"/>
  <c r="H402" i="6"/>
  <c r="I402" i="6" s="1"/>
  <c r="H403" i="6"/>
  <c r="I403" i="6" s="1"/>
  <c r="H404" i="6"/>
  <c r="I404" i="6" s="1"/>
  <c r="H405" i="6"/>
  <c r="I405" i="6" s="1"/>
  <c r="H406" i="6"/>
  <c r="I406" i="6" s="1"/>
  <c r="H407" i="6"/>
  <c r="I407" i="6" s="1"/>
  <c r="H408" i="6"/>
  <c r="I408" i="6" s="1"/>
  <c r="H409" i="6"/>
  <c r="I409" i="6" s="1"/>
  <c r="H410" i="6"/>
  <c r="I410" i="6" s="1"/>
  <c r="H411" i="6"/>
  <c r="I411" i="6" s="1"/>
  <c r="H412" i="6"/>
  <c r="I412" i="6" s="1"/>
  <c r="H413" i="6"/>
  <c r="I413" i="6" s="1"/>
  <c r="H414" i="6"/>
  <c r="I414" i="6" s="1"/>
  <c r="H415" i="6"/>
  <c r="I415" i="6" s="1"/>
  <c r="H416" i="6"/>
  <c r="I416" i="6" s="1"/>
  <c r="H417" i="6"/>
  <c r="I417" i="6" s="1"/>
  <c r="H418" i="6"/>
  <c r="I418" i="6" s="1"/>
  <c r="H419" i="6"/>
  <c r="I419" i="6" s="1"/>
  <c r="H420" i="6"/>
  <c r="I420" i="6" s="1"/>
  <c r="H421" i="6"/>
  <c r="I421" i="6" s="1"/>
  <c r="H422" i="6"/>
  <c r="I422" i="6" s="1"/>
  <c r="H423" i="6"/>
  <c r="I423" i="6" s="1"/>
  <c r="H424" i="6"/>
  <c r="I424" i="6" s="1"/>
  <c r="H425" i="6"/>
  <c r="I425" i="6" s="1"/>
  <c r="H426" i="6"/>
  <c r="I426" i="6" s="1"/>
  <c r="H427" i="6"/>
  <c r="I427" i="6" s="1"/>
  <c r="H428" i="6"/>
  <c r="I428" i="6" s="1"/>
  <c r="H429" i="6"/>
  <c r="I429" i="6" s="1"/>
  <c r="H430" i="6"/>
  <c r="I430" i="6" s="1"/>
  <c r="H431" i="6"/>
  <c r="I431" i="6" s="1"/>
  <c r="H432" i="6"/>
  <c r="I432" i="6" s="1"/>
  <c r="H433" i="6"/>
  <c r="I433" i="6" s="1"/>
  <c r="H434" i="6"/>
  <c r="I434" i="6" s="1"/>
  <c r="H435" i="6"/>
  <c r="I435" i="6" s="1"/>
  <c r="H436" i="6"/>
  <c r="I436" i="6" s="1"/>
  <c r="H437" i="6"/>
  <c r="I437" i="6" s="1"/>
  <c r="H438" i="6"/>
  <c r="I438" i="6" s="1"/>
  <c r="H439" i="6"/>
  <c r="I439" i="6" s="1"/>
  <c r="H440" i="6"/>
  <c r="I440" i="6" s="1"/>
  <c r="H441" i="6"/>
  <c r="I441" i="6" s="1"/>
  <c r="H442" i="6"/>
  <c r="I442" i="6" s="1"/>
  <c r="H443" i="6"/>
  <c r="I443" i="6" s="1"/>
  <c r="H444" i="6"/>
  <c r="I444" i="6" s="1"/>
  <c r="H445" i="6"/>
  <c r="I445" i="6" s="1"/>
  <c r="H446" i="6"/>
  <c r="I446" i="6" s="1"/>
  <c r="H447" i="6"/>
  <c r="I447" i="6" s="1"/>
  <c r="H448" i="6"/>
  <c r="I448" i="6" s="1"/>
  <c r="H449" i="6"/>
  <c r="I449" i="6" s="1"/>
  <c r="H450" i="6"/>
  <c r="I450" i="6" s="1"/>
  <c r="H451" i="6"/>
  <c r="I451" i="6" s="1"/>
  <c r="H452" i="6"/>
  <c r="I452" i="6" s="1"/>
  <c r="H453" i="6"/>
  <c r="I453" i="6" s="1"/>
  <c r="H454" i="6"/>
  <c r="I454" i="6" s="1"/>
  <c r="H455" i="6"/>
  <c r="I455" i="6" s="1"/>
  <c r="H456" i="6"/>
  <c r="I456" i="6" s="1"/>
  <c r="H457" i="6"/>
  <c r="I457" i="6" s="1"/>
  <c r="H458" i="6"/>
  <c r="I458" i="6" s="1"/>
  <c r="H459" i="6"/>
  <c r="I459" i="6" s="1"/>
  <c r="H460" i="6"/>
  <c r="I460" i="6" s="1"/>
  <c r="H461" i="6"/>
  <c r="I461" i="6" s="1"/>
  <c r="H462" i="6"/>
  <c r="I462" i="6" s="1"/>
  <c r="H463" i="6"/>
  <c r="I463" i="6" s="1"/>
  <c r="H464" i="6"/>
  <c r="I464" i="6" s="1"/>
  <c r="H465" i="6"/>
  <c r="I465" i="6" s="1"/>
  <c r="H466" i="6"/>
  <c r="I466" i="6" s="1"/>
  <c r="H467" i="6"/>
  <c r="I467" i="6" s="1"/>
  <c r="H468" i="6"/>
  <c r="I468" i="6" s="1"/>
  <c r="H469" i="6"/>
  <c r="I469" i="6" s="1"/>
  <c r="H470" i="6"/>
  <c r="I470" i="6" s="1"/>
  <c r="H471" i="6"/>
  <c r="I471" i="6" s="1"/>
  <c r="H472" i="6"/>
  <c r="I472" i="6" s="1"/>
  <c r="H473" i="6"/>
  <c r="I473" i="6" s="1"/>
  <c r="H474" i="6"/>
  <c r="I474" i="6" s="1"/>
  <c r="H475" i="6"/>
  <c r="I475" i="6" s="1"/>
  <c r="H476" i="6"/>
  <c r="I476" i="6" s="1"/>
  <c r="H477" i="6"/>
  <c r="I477" i="6" s="1"/>
  <c r="H478" i="6"/>
  <c r="I478" i="6" s="1"/>
  <c r="H479" i="6"/>
  <c r="I479" i="6" s="1"/>
  <c r="H480" i="6"/>
  <c r="I480" i="6" s="1"/>
  <c r="H481" i="6"/>
  <c r="I481" i="6" s="1"/>
  <c r="H482" i="6"/>
  <c r="I482" i="6" s="1"/>
  <c r="H483" i="6"/>
  <c r="I483" i="6" s="1"/>
  <c r="H484" i="6"/>
  <c r="I484" i="6" s="1"/>
  <c r="H485" i="6"/>
  <c r="I485" i="6" s="1"/>
  <c r="H486" i="6"/>
  <c r="I486" i="6" s="1"/>
  <c r="H487" i="6"/>
  <c r="I487" i="6" s="1"/>
  <c r="H488" i="6"/>
  <c r="I488" i="6" s="1"/>
  <c r="H489" i="6"/>
  <c r="I489" i="6" s="1"/>
  <c r="H490" i="6"/>
  <c r="I490" i="6" s="1"/>
  <c r="H491" i="6"/>
  <c r="I491" i="6" s="1"/>
  <c r="H492" i="6"/>
  <c r="I492" i="6" s="1"/>
  <c r="H493" i="6"/>
  <c r="I493" i="6" s="1"/>
  <c r="H494" i="6"/>
  <c r="I494" i="6" s="1"/>
  <c r="H495" i="6"/>
  <c r="I495" i="6" s="1"/>
  <c r="H496" i="6"/>
  <c r="I496" i="6" s="1"/>
  <c r="H497" i="6"/>
  <c r="I497" i="6" s="1"/>
  <c r="H498" i="6"/>
  <c r="I498" i="6" s="1"/>
  <c r="H499" i="6"/>
  <c r="I499" i="6" s="1"/>
  <c r="H500" i="6"/>
  <c r="I500" i="6" s="1"/>
  <c r="H501" i="6"/>
  <c r="I501" i="6" s="1"/>
  <c r="H502" i="6"/>
  <c r="I502" i="6" s="1"/>
  <c r="H503" i="6"/>
  <c r="I503" i="6" s="1"/>
  <c r="H504" i="6"/>
  <c r="I504" i="6" s="1"/>
  <c r="H505" i="6"/>
  <c r="I505" i="6" s="1"/>
  <c r="H506" i="6"/>
  <c r="I506" i="6" s="1"/>
  <c r="H507" i="6"/>
  <c r="I507" i="6" s="1"/>
  <c r="H508" i="6"/>
  <c r="I508" i="6" s="1"/>
  <c r="H509" i="6"/>
  <c r="I509" i="6" s="1"/>
  <c r="H510" i="6"/>
  <c r="I510" i="6" s="1"/>
  <c r="H511" i="6"/>
  <c r="I511" i="6" s="1"/>
  <c r="H512" i="6"/>
  <c r="I512" i="6" s="1"/>
  <c r="H513" i="6"/>
  <c r="I513" i="6" s="1"/>
  <c r="H514" i="6"/>
  <c r="I514" i="6" s="1"/>
  <c r="H515" i="6"/>
  <c r="I515" i="6" s="1"/>
  <c r="H516" i="6"/>
  <c r="I516" i="6" s="1"/>
  <c r="H517" i="6"/>
  <c r="I517" i="6" s="1"/>
  <c r="H518" i="6"/>
  <c r="I518" i="6" s="1"/>
  <c r="H519" i="6"/>
  <c r="I519" i="6" s="1"/>
  <c r="H520" i="6"/>
  <c r="I520" i="6" s="1"/>
  <c r="H521" i="6"/>
  <c r="I521" i="6" s="1"/>
  <c r="H522" i="6"/>
  <c r="I522" i="6" s="1"/>
  <c r="H523" i="6"/>
  <c r="I523" i="6" s="1"/>
  <c r="H524" i="6"/>
  <c r="I524" i="6" s="1"/>
  <c r="H525" i="6"/>
  <c r="I525" i="6" s="1"/>
  <c r="H526" i="6"/>
  <c r="I526" i="6" s="1"/>
  <c r="H527" i="6"/>
  <c r="I527" i="6" s="1"/>
  <c r="H528" i="6"/>
  <c r="I528" i="6" s="1"/>
  <c r="H529" i="6"/>
  <c r="I529" i="6" s="1"/>
  <c r="H530" i="6"/>
  <c r="I530" i="6" s="1"/>
  <c r="H531" i="6"/>
  <c r="I531" i="6" s="1"/>
  <c r="H532" i="6"/>
  <c r="I532" i="6" s="1"/>
  <c r="H533" i="6"/>
  <c r="I533" i="6" s="1"/>
  <c r="H534" i="6"/>
  <c r="I534" i="6" s="1"/>
  <c r="H535" i="6"/>
  <c r="I535" i="6" s="1"/>
  <c r="H536" i="6"/>
  <c r="I536" i="6" s="1"/>
  <c r="H537" i="6"/>
  <c r="I537" i="6" s="1"/>
  <c r="H538" i="6"/>
  <c r="I538" i="6" s="1"/>
  <c r="H539" i="6"/>
  <c r="I539" i="6" s="1"/>
  <c r="H540" i="6"/>
  <c r="I540" i="6" s="1"/>
  <c r="H541" i="6"/>
  <c r="I541" i="6" s="1"/>
  <c r="H542" i="6"/>
  <c r="I542" i="6" s="1"/>
  <c r="H543" i="6"/>
  <c r="I543" i="6" s="1"/>
  <c r="H544" i="6"/>
  <c r="I544" i="6" s="1"/>
  <c r="H545" i="6"/>
  <c r="I545" i="6" s="1"/>
  <c r="H546" i="6"/>
  <c r="I546" i="6" s="1"/>
  <c r="J546" i="6" s="1"/>
  <c r="H547" i="6"/>
  <c r="I547" i="6" s="1"/>
  <c r="H548" i="6"/>
  <c r="I548" i="6" s="1"/>
  <c r="H549" i="6"/>
  <c r="I549" i="6" s="1"/>
  <c r="H550" i="6"/>
  <c r="I550" i="6" s="1"/>
  <c r="H551" i="6"/>
  <c r="I551" i="6" s="1"/>
  <c r="H552" i="6"/>
  <c r="I552" i="6" s="1"/>
  <c r="H553" i="6"/>
  <c r="I553" i="6" s="1"/>
  <c r="H554" i="6"/>
  <c r="I554" i="6" s="1"/>
  <c r="H555" i="6"/>
  <c r="I555" i="6" s="1"/>
  <c r="H556" i="6"/>
  <c r="I556" i="6" s="1"/>
  <c r="H557" i="6"/>
  <c r="I557" i="6" s="1"/>
  <c r="H558" i="6"/>
  <c r="I558" i="6" s="1"/>
  <c r="H559" i="6"/>
  <c r="I559" i="6" s="1"/>
  <c r="H560" i="6"/>
  <c r="I560" i="6" s="1"/>
  <c r="H561" i="6"/>
  <c r="I561" i="6" s="1"/>
  <c r="H562" i="6"/>
  <c r="I562" i="6" s="1"/>
  <c r="H563" i="6"/>
  <c r="I563" i="6" s="1"/>
  <c r="H564" i="6"/>
  <c r="I564" i="6" s="1"/>
  <c r="H565" i="6"/>
  <c r="I565" i="6" s="1"/>
  <c r="H566" i="6"/>
  <c r="I566" i="6" s="1"/>
  <c r="H567" i="6"/>
  <c r="I567" i="6" s="1"/>
  <c r="H568" i="6"/>
  <c r="I568" i="6" s="1"/>
  <c r="H569" i="6"/>
  <c r="I569" i="6" s="1"/>
  <c r="H570" i="6"/>
  <c r="I570" i="6" s="1"/>
  <c r="H571" i="6"/>
  <c r="I571" i="6" s="1"/>
  <c r="H572" i="6"/>
  <c r="I572" i="6" s="1"/>
  <c r="H573" i="6"/>
  <c r="I573" i="6" s="1"/>
  <c r="H574" i="6"/>
  <c r="I574" i="6" s="1"/>
  <c r="H575" i="6"/>
  <c r="I575" i="6" s="1"/>
  <c r="H576" i="6"/>
  <c r="I576" i="6" s="1"/>
  <c r="H577" i="6"/>
  <c r="I577" i="6" s="1"/>
  <c r="H578" i="6"/>
  <c r="I578" i="6" s="1"/>
  <c r="H579" i="6"/>
  <c r="I579" i="6" s="1"/>
  <c r="H580" i="6"/>
  <c r="I580" i="6" s="1"/>
  <c r="H581" i="6"/>
  <c r="I581" i="6" s="1"/>
  <c r="H582" i="6"/>
  <c r="I582" i="6" s="1"/>
  <c r="H583" i="6"/>
  <c r="I583" i="6" s="1"/>
  <c r="H584" i="6"/>
  <c r="I584" i="6" s="1"/>
  <c r="H585" i="6"/>
  <c r="I585" i="6" s="1"/>
  <c r="H586" i="6"/>
  <c r="I586" i="6" s="1"/>
  <c r="H587" i="6"/>
  <c r="I587" i="6" s="1"/>
  <c r="H588" i="6"/>
  <c r="I588" i="6" s="1"/>
  <c r="H589" i="6"/>
  <c r="I589" i="6" s="1"/>
  <c r="H590" i="6"/>
  <c r="I590" i="6" s="1"/>
  <c r="H591" i="6"/>
  <c r="I591" i="6" s="1"/>
  <c r="H592" i="6"/>
  <c r="I592" i="6" s="1"/>
  <c r="H593" i="6"/>
  <c r="I593" i="6" s="1"/>
  <c r="H594" i="6"/>
  <c r="I594" i="6" s="1"/>
  <c r="H595" i="6"/>
  <c r="I595" i="6" s="1"/>
  <c r="H596" i="6"/>
  <c r="I596" i="6" s="1"/>
  <c r="H597" i="6"/>
  <c r="I597" i="6" s="1"/>
  <c r="H598" i="6"/>
  <c r="I598" i="6" s="1"/>
  <c r="H599" i="6"/>
  <c r="I599" i="6" s="1"/>
  <c r="H600" i="6"/>
  <c r="I600" i="6" s="1"/>
  <c r="H601" i="6"/>
  <c r="I601" i="6" s="1"/>
  <c r="H602" i="6"/>
  <c r="I602" i="6" s="1"/>
  <c r="H603" i="6"/>
  <c r="I603" i="6" s="1"/>
  <c r="H604" i="6"/>
  <c r="I604" i="6" s="1"/>
  <c r="H605" i="6"/>
  <c r="I605" i="6" s="1"/>
  <c r="H606" i="6"/>
  <c r="I606" i="6" s="1"/>
  <c r="H607" i="6"/>
  <c r="I607" i="6" s="1"/>
  <c r="H608" i="6"/>
  <c r="I608" i="6" s="1"/>
  <c r="H609" i="6"/>
  <c r="I609" i="6" s="1"/>
  <c r="H610" i="6"/>
  <c r="I610" i="6" s="1"/>
  <c r="H611" i="6"/>
  <c r="I611" i="6" s="1"/>
  <c r="H612" i="6"/>
  <c r="I612" i="6" s="1"/>
  <c r="H613" i="6"/>
  <c r="I613" i="6" s="1"/>
  <c r="H614" i="6"/>
  <c r="I614" i="6" s="1"/>
  <c r="H615" i="6"/>
  <c r="I615" i="6" s="1"/>
  <c r="H616" i="6"/>
  <c r="I616" i="6" s="1"/>
  <c r="H617" i="6"/>
  <c r="I617" i="6" s="1"/>
  <c r="H618" i="6"/>
  <c r="I618" i="6" s="1"/>
  <c r="H619" i="6"/>
  <c r="I619" i="6" s="1"/>
  <c r="H620" i="6"/>
  <c r="I620" i="6" s="1"/>
  <c r="H621" i="6"/>
  <c r="I621" i="6" s="1"/>
  <c r="H622" i="6"/>
  <c r="I622" i="6" s="1"/>
  <c r="H623" i="6"/>
  <c r="I623" i="6" s="1"/>
  <c r="H624" i="6"/>
  <c r="I624" i="6" s="1"/>
  <c r="H625" i="6"/>
  <c r="I625" i="6" s="1"/>
  <c r="H626" i="6"/>
  <c r="I626" i="6" s="1"/>
  <c r="H627" i="6"/>
  <c r="I627" i="6" s="1"/>
  <c r="H628" i="6"/>
  <c r="I628" i="6" s="1"/>
  <c r="H629" i="6"/>
  <c r="I629" i="6" s="1"/>
  <c r="H630" i="6"/>
  <c r="I630" i="6" s="1"/>
  <c r="H631" i="6"/>
  <c r="I631" i="6" s="1"/>
  <c r="H632" i="6"/>
  <c r="I632" i="6" s="1"/>
  <c r="H633" i="6"/>
  <c r="I633" i="6" s="1"/>
  <c r="H634" i="6"/>
  <c r="I634" i="6" s="1"/>
  <c r="H635" i="6"/>
  <c r="I635" i="6" s="1"/>
  <c r="H636" i="6"/>
  <c r="I636" i="6" s="1"/>
  <c r="H637" i="6"/>
  <c r="I637" i="6" s="1"/>
  <c r="H638" i="6"/>
  <c r="I638" i="6" s="1"/>
  <c r="H639" i="6"/>
  <c r="I639" i="6" s="1"/>
  <c r="H640" i="6"/>
  <c r="I640" i="6" s="1"/>
  <c r="H641" i="6"/>
  <c r="I641" i="6" s="1"/>
  <c r="H642" i="6"/>
  <c r="I642" i="6" s="1"/>
  <c r="H643" i="6"/>
  <c r="I643" i="6" s="1"/>
  <c r="H644" i="6"/>
  <c r="I644" i="6" s="1"/>
  <c r="H645" i="6"/>
  <c r="I645" i="6" s="1"/>
  <c r="H646" i="6"/>
  <c r="I646" i="6" s="1"/>
  <c r="H647" i="6"/>
  <c r="I647" i="6" s="1"/>
  <c r="H648" i="6"/>
  <c r="I648" i="6" s="1"/>
  <c r="H649" i="6"/>
  <c r="I649" i="6" s="1"/>
  <c r="H650" i="6"/>
  <c r="I650" i="6" s="1"/>
  <c r="H651" i="6"/>
  <c r="I651" i="6" s="1"/>
  <c r="H652" i="6"/>
  <c r="I652" i="6" s="1"/>
  <c r="H653" i="6"/>
  <c r="I653" i="6" s="1"/>
  <c r="H654" i="6"/>
  <c r="I654" i="6" s="1"/>
  <c r="H655" i="6"/>
  <c r="I655" i="6" s="1"/>
  <c r="H656" i="6"/>
  <c r="I656" i="6" s="1"/>
  <c r="H657" i="6"/>
  <c r="I657" i="6" s="1"/>
  <c r="H658" i="6"/>
  <c r="I658" i="6" s="1"/>
  <c r="H659" i="6"/>
  <c r="I659" i="6" s="1"/>
  <c r="H660" i="6"/>
  <c r="I660" i="6" s="1"/>
  <c r="H661" i="6"/>
  <c r="I661" i="6" s="1"/>
  <c r="H662" i="6"/>
  <c r="I662" i="6" s="1"/>
  <c r="H663" i="6"/>
  <c r="I663" i="6" s="1"/>
  <c r="H664" i="6"/>
  <c r="I664" i="6" s="1"/>
  <c r="H665" i="6"/>
  <c r="I665" i="6" s="1"/>
  <c r="H666" i="6"/>
  <c r="I666" i="6" s="1"/>
  <c r="H667" i="6"/>
  <c r="I667" i="6" s="1"/>
  <c r="H668" i="6"/>
  <c r="I668" i="6" s="1"/>
  <c r="H669" i="6"/>
  <c r="I669" i="6" s="1"/>
  <c r="H670" i="6"/>
  <c r="I670" i="6" s="1"/>
  <c r="H671" i="6"/>
  <c r="I671" i="6" s="1"/>
  <c r="H672" i="6"/>
  <c r="I672" i="6" s="1"/>
  <c r="H673" i="6"/>
  <c r="I673" i="6" s="1"/>
  <c r="H674" i="6"/>
  <c r="I674" i="6" s="1"/>
  <c r="H675" i="6"/>
  <c r="I675" i="6" s="1"/>
  <c r="H676" i="6"/>
  <c r="I676" i="6" s="1"/>
  <c r="H677" i="6"/>
  <c r="I677" i="6" s="1"/>
  <c r="H678" i="6"/>
  <c r="I678" i="6" s="1"/>
  <c r="H679" i="6"/>
  <c r="I679" i="6" s="1"/>
  <c r="H680" i="6"/>
  <c r="I680" i="6" s="1"/>
  <c r="H681" i="6"/>
  <c r="I681" i="6" s="1"/>
  <c r="H682" i="6"/>
  <c r="I682" i="6" s="1"/>
  <c r="H683" i="6"/>
  <c r="I683" i="6" s="1"/>
  <c r="H684" i="6"/>
  <c r="I684" i="6" s="1"/>
  <c r="H685" i="6"/>
  <c r="I685" i="6" s="1"/>
  <c r="H686" i="6"/>
  <c r="I686" i="6" s="1"/>
  <c r="H687" i="6"/>
  <c r="I687" i="6" s="1"/>
  <c r="H688" i="6"/>
  <c r="I688" i="6" s="1"/>
  <c r="H689" i="6"/>
  <c r="I689" i="6" s="1"/>
  <c r="H690" i="6"/>
  <c r="I690" i="6" s="1"/>
  <c r="H691" i="6"/>
  <c r="I691" i="6" s="1"/>
  <c r="H692" i="6"/>
  <c r="I692" i="6" s="1"/>
  <c r="H693" i="6"/>
  <c r="I693" i="6" s="1"/>
  <c r="H694" i="6"/>
  <c r="I694" i="6" s="1"/>
  <c r="H695" i="6"/>
  <c r="I695" i="6" s="1"/>
  <c r="H696" i="6"/>
  <c r="I696" i="6" s="1"/>
  <c r="H697" i="6"/>
  <c r="I697" i="6" s="1"/>
  <c r="H698" i="6"/>
  <c r="I698" i="6" s="1"/>
  <c r="H699" i="6"/>
  <c r="I699" i="6" s="1"/>
  <c r="H700" i="6"/>
  <c r="I700" i="6" s="1"/>
  <c r="H701" i="6"/>
  <c r="I701" i="6" s="1"/>
  <c r="H702" i="6"/>
  <c r="I702" i="6" s="1"/>
  <c r="H703" i="6"/>
  <c r="I703" i="6" s="1"/>
  <c r="H704" i="6"/>
  <c r="I704" i="6" s="1"/>
  <c r="H705" i="6"/>
  <c r="I705" i="6" s="1"/>
  <c r="H706" i="6"/>
  <c r="I706" i="6" s="1"/>
  <c r="H707" i="6"/>
  <c r="I707" i="6" s="1"/>
  <c r="H708" i="6"/>
  <c r="I708" i="6" s="1"/>
  <c r="H709" i="6"/>
  <c r="I709" i="6" s="1"/>
  <c r="H710" i="6"/>
  <c r="I710" i="6" s="1"/>
  <c r="H711" i="6"/>
  <c r="I711" i="6" s="1"/>
  <c r="H712" i="6"/>
  <c r="I712" i="6" s="1"/>
  <c r="H713" i="6"/>
  <c r="I713" i="6" s="1"/>
  <c r="H714" i="6"/>
  <c r="I714" i="6" s="1"/>
  <c r="H715" i="6"/>
  <c r="I715" i="6" s="1"/>
  <c r="H716" i="6"/>
  <c r="I716" i="6" s="1"/>
  <c r="H717" i="6"/>
  <c r="I717" i="6" s="1"/>
  <c r="H718" i="6"/>
  <c r="I718" i="6" s="1"/>
  <c r="H719" i="6"/>
  <c r="I719" i="6" s="1"/>
  <c r="H720" i="6"/>
  <c r="I720" i="6" s="1"/>
  <c r="H721" i="6"/>
  <c r="I721" i="6" s="1"/>
  <c r="H722" i="6"/>
  <c r="I722" i="6" s="1"/>
  <c r="H723" i="6"/>
  <c r="I723" i="6" s="1"/>
  <c r="H724" i="6"/>
  <c r="I724" i="6" s="1"/>
  <c r="H725" i="6"/>
  <c r="I725" i="6" s="1"/>
  <c r="H726" i="6"/>
  <c r="I726" i="6" s="1"/>
  <c r="H727" i="6"/>
  <c r="I727" i="6" s="1"/>
  <c r="H728" i="6"/>
  <c r="I728" i="6" s="1"/>
  <c r="H729" i="6"/>
  <c r="I729" i="6" s="1"/>
  <c r="H730" i="6"/>
  <c r="I730" i="6" s="1"/>
  <c r="H731" i="6"/>
  <c r="I731" i="6" s="1"/>
  <c r="H732" i="6"/>
  <c r="I732" i="6" s="1"/>
  <c r="H733" i="6"/>
  <c r="I733" i="6" s="1"/>
  <c r="H734" i="6"/>
  <c r="I734" i="6" s="1"/>
  <c r="H735" i="6"/>
  <c r="I735" i="6" s="1"/>
  <c r="H736" i="6"/>
  <c r="I736" i="6" s="1"/>
  <c r="H737" i="6"/>
  <c r="I737" i="6" s="1"/>
  <c r="H738" i="6"/>
  <c r="I738" i="6" s="1"/>
  <c r="H739" i="6"/>
  <c r="I739" i="6" s="1"/>
  <c r="H740" i="6"/>
  <c r="I740" i="6" s="1"/>
  <c r="H741" i="6"/>
  <c r="I741" i="6" s="1"/>
  <c r="H742" i="6"/>
  <c r="I742" i="6" s="1"/>
  <c r="H743" i="6"/>
  <c r="I743" i="6" s="1"/>
  <c r="H744" i="6"/>
  <c r="I744" i="6" s="1"/>
  <c r="H745" i="6"/>
  <c r="I745" i="6" s="1"/>
  <c r="H746" i="6"/>
  <c r="I746" i="6" s="1"/>
  <c r="H747" i="6"/>
  <c r="I747" i="6" s="1"/>
  <c r="H748" i="6"/>
  <c r="I748" i="6" s="1"/>
  <c r="H749" i="6"/>
  <c r="I749" i="6" s="1"/>
  <c r="H750" i="6"/>
  <c r="I750" i="6" s="1"/>
  <c r="H751" i="6"/>
  <c r="I751" i="6" s="1"/>
  <c r="H752" i="6"/>
  <c r="I752" i="6" s="1"/>
  <c r="H753" i="6"/>
  <c r="I753" i="6" s="1"/>
  <c r="H754" i="6"/>
  <c r="I754" i="6" s="1"/>
  <c r="H755" i="6"/>
  <c r="I755" i="6" s="1"/>
  <c r="H756" i="6"/>
  <c r="I756" i="6" s="1"/>
  <c r="H757" i="6"/>
  <c r="I757" i="6" s="1"/>
  <c r="H758" i="6"/>
  <c r="I758" i="6" s="1"/>
  <c r="H759" i="6"/>
  <c r="I759" i="6" s="1"/>
  <c r="H760" i="6"/>
  <c r="I760" i="6" s="1"/>
  <c r="H761" i="6"/>
  <c r="I761" i="6" s="1"/>
  <c r="H762" i="6"/>
  <c r="I762" i="6" s="1"/>
  <c r="H763" i="6"/>
  <c r="I763" i="6" s="1"/>
  <c r="H764" i="6"/>
  <c r="I764" i="6" s="1"/>
  <c r="H765" i="6"/>
  <c r="I765" i="6" s="1"/>
  <c r="H766" i="6"/>
  <c r="I766" i="6" s="1"/>
  <c r="H767" i="6"/>
  <c r="I767" i="6" s="1"/>
  <c r="H768" i="6"/>
  <c r="I768" i="6" s="1"/>
  <c r="H769" i="6"/>
  <c r="I769" i="6" s="1"/>
  <c r="H770" i="6"/>
  <c r="I770" i="6" s="1"/>
  <c r="H771" i="6"/>
  <c r="I771" i="6" s="1"/>
  <c r="H772" i="6"/>
  <c r="I772" i="6" s="1"/>
  <c r="H773" i="6"/>
  <c r="I773" i="6" s="1"/>
  <c r="H774" i="6"/>
  <c r="I774" i="6" s="1"/>
  <c r="H775" i="6"/>
  <c r="I775" i="6" s="1"/>
  <c r="H776" i="6"/>
  <c r="I776" i="6" s="1"/>
  <c r="H777" i="6"/>
  <c r="I777" i="6" s="1"/>
  <c r="H778" i="6"/>
  <c r="I778" i="6" s="1"/>
  <c r="H779" i="6"/>
  <c r="I779" i="6" s="1"/>
  <c r="H780" i="6"/>
  <c r="I780" i="6" s="1"/>
  <c r="H781" i="6"/>
  <c r="I781" i="6" s="1"/>
  <c r="H782" i="6"/>
  <c r="I782" i="6" s="1"/>
  <c r="H783" i="6"/>
  <c r="I783" i="6" s="1"/>
  <c r="H784" i="6"/>
  <c r="I784" i="6" s="1"/>
  <c r="H785" i="6"/>
  <c r="I785" i="6" s="1"/>
  <c r="H786" i="6"/>
  <c r="I786" i="6" s="1"/>
  <c r="H787" i="6"/>
  <c r="I787" i="6" s="1"/>
  <c r="H788" i="6"/>
  <c r="I788" i="6" s="1"/>
  <c r="H789" i="6"/>
  <c r="I789" i="6" s="1"/>
  <c r="J789" i="6" s="1"/>
  <c r="H790" i="6"/>
  <c r="I790" i="6" s="1"/>
  <c r="H791" i="6"/>
  <c r="I791" i="6" s="1"/>
  <c r="H792" i="6"/>
  <c r="I792" i="6" s="1"/>
  <c r="J293" i="6" l="1"/>
  <c r="J204" i="6"/>
  <c r="J256" i="6"/>
  <c r="J49" i="6"/>
  <c r="J45" i="6"/>
  <c r="J67" i="6"/>
  <c r="J57" i="6"/>
  <c r="J35" i="6"/>
  <c r="J610" i="6"/>
  <c r="J514" i="6"/>
  <c r="J395" i="6"/>
  <c r="J283" i="6"/>
  <c r="J746" i="6"/>
  <c r="J143" i="6"/>
  <c r="J681" i="6"/>
  <c r="J489" i="6"/>
  <c r="J197" i="6"/>
  <c r="J680" i="6"/>
  <c r="J456" i="6"/>
  <c r="J360" i="6"/>
  <c r="J174" i="6"/>
  <c r="J111" i="6"/>
  <c r="J679" i="6"/>
  <c r="J583" i="6"/>
  <c r="J423" i="6"/>
  <c r="J678" i="6"/>
  <c r="J550" i="6"/>
  <c r="J422" i="6"/>
  <c r="J190" i="6"/>
  <c r="J96" i="6"/>
  <c r="J773" i="6"/>
  <c r="J613" i="6"/>
  <c r="J102" i="6"/>
  <c r="J676" i="6"/>
  <c r="J444" i="6"/>
  <c r="J348" i="6"/>
  <c r="J330" i="6"/>
  <c r="J585" i="6"/>
  <c r="J712" i="6"/>
  <c r="J259" i="6"/>
  <c r="J774" i="6"/>
  <c r="J326" i="6"/>
  <c r="J53" i="6"/>
  <c r="J196" i="6"/>
  <c r="J331" i="6"/>
  <c r="J361" i="6"/>
  <c r="J552" i="6"/>
  <c r="J775" i="6"/>
  <c r="J276" i="6"/>
  <c r="J357" i="6"/>
  <c r="J579" i="6"/>
  <c r="J619" i="6"/>
  <c r="J211" i="6"/>
  <c r="J778" i="6"/>
  <c r="J522" i="6"/>
  <c r="J267" i="6"/>
  <c r="J394" i="6"/>
  <c r="J649" i="6"/>
  <c r="J393" i="6"/>
  <c r="J75" i="6"/>
  <c r="J248" i="6"/>
  <c r="J683" i="6"/>
  <c r="J523" i="6"/>
  <c r="J363" i="6"/>
  <c r="J191" i="6"/>
  <c r="J586" i="6"/>
  <c r="J362" i="6"/>
  <c r="J279" i="6"/>
  <c r="J617" i="6"/>
  <c r="J297" i="6"/>
  <c r="J747" i="6"/>
  <c r="J587" i="6"/>
  <c r="J125" i="6"/>
  <c r="J85" i="6"/>
  <c r="J490" i="6"/>
  <c r="J137" i="6"/>
  <c r="J713" i="6"/>
  <c r="J521" i="6"/>
  <c r="J231" i="6"/>
  <c r="J261" i="6"/>
  <c r="J744" i="6"/>
  <c r="J616" i="6"/>
  <c r="J488" i="6"/>
  <c r="J222" i="6"/>
  <c r="J189" i="6"/>
  <c r="J711" i="6"/>
  <c r="J519" i="6"/>
  <c r="J391" i="6"/>
  <c r="J173" i="6"/>
  <c r="J70" i="6"/>
  <c r="J710" i="6"/>
  <c r="J518" i="6"/>
  <c r="J358" i="6"/>
  <c r="J179" i="6"/>
  <c r="J549" i="6"/>
  <c r="J453" i="6"/>
  <c r="J325" i="6"/>
  <c r="J245" i="6"/>
  <c r="J41" i="6"/>
  <c r="J740" i="6"/>
  <c r="J644" i="6"/>
  <c r="J484" i="6"/>
  <c r="J388" i="6"/>
  <c r="J324" i="6"/>
  <c r="J156" i="6"/>
  <c r="J100" i="6"/>
  <c r="J739" i="6"/>
  <c r="J611" i="6"/>
  <c r="J515" i="6"/>
  <c r="J451" i="6"/>
  <c r="J387" i="6"/>
  <c r="J144" i="6"/>
  <c r="J262" i="6"/>
  <c r="J224" i="6"/>
  <c r="J706" i="6"/>
  <c r="J642" i="6"/>
  <c r="J733" i="6"/>
  <c r="J669" i="6"/>
  <c r="J477" i="6"/>
  <c r="J349" i="6"/>
  <c r="J270" i="6"/>
  <c r="J275" i="6"/>
  <c r="J99" i="6"/>
  <c r="J732" i="6"/>
  <c r="J636" i="6"/>
  <c r="J540" i="6"/>
  <c r="J171" i="6"/>
  <c r="J779" i="6"/>
  <c r="J177" i="6"/>
  <c r="J139" i="6"/>
  <c r="J714" i="6"/>
  <c r="J176" i="6"/>
  <c r="J78" i="6"/>
  <c r="J777" i="6"/>
  <c r="J457" i="6"/>
  <c r="J131" i="6"/>
  <c r="J648" i="6"/>
  <c r="J424" i="6"/>
  <c r="J292" i="6"/>
  <c r="J129" i="6"/>
  <c r="J647" i="6"/>
  <c r="J551" i="6"/>
  <c r="J455" i="6"/>
  <c r="J327" i="6"/>
  <c r="J646" i="6"/>
  <c r="J582" i="6"/>
  <c r="J486" i="6"/>
  <c r="J390" i="6"/>
  <c r="J60" i="6"/>
  <c r="J581" i="6"/>
  <c r="J485" i="6"/>
  <c r="J421" i="6"/>
  <c r="J164" i="6"/>
  <c r="J92" i="6"/>
  <c r="J772" i="6"/>
  <c r="J708" i="6"/>
  <c r="J612" i="6"/>
  <c r="J516" i="6"/>
  <c r="J452" i="6"/>
  <c r="J356" i="6"/>
  <c r="J241" i="6"/>
  <c r="J82" i="6"/>
  <c r="J707" i="6"/>
  <c r="J643" i="6"/>
  <c r="J547" i="6"/>
  <c r="J419" i="6"/>
  <c r="J355" i="6"/>
  <c r="J155" i="6"/>
  <c r="J68" i="6"/>
  <c r="J738" i="6"/>
  <c r="J765" i="6"/>
  <c r="J509" i="6"/>
  <c r="J445" i="6"/>
  <c r="J381" i="6"/>
  <c r="J110" i="6"/>
  <c r="J764" i="6"/>
  <c r="J700" i="6"/>
  <c r="J572" i="6"/>
  <c r="J51" i="6"/>
  <c r="J418" i="6"/>
  <c r="J386" i="6"/>
  <c r="J322" i="6"/>
  <c r="J138" i="6"/>
  <c r="J247" i="6"/>
  <c r="J121" i="6"/>
  <c r="J213" i="6"/>
  <c r="J130" i="6"/>
  <c r="J69" i="6"/>
  <c r="J61" i="6"/>
  <c r="J737" i="6"/>
  <c r="J641" i="6"/>
  <c r="J545" i="6"/>
  <c r="J513" i="6"/>
  <c r="J417" i="6"/>
  <c r="J385" i="6"/>
  <c r="J321" i="6"/>
  <c r="J299" i="6"/>
  <c r="J145" i="6"/>
  <c r="J205" i="6"/>
  <c r="J77" i="6"/>
  <c r="J736" i="6"/>
  <c r="J672" i="6"/>
  <c r="J608" i="6"/>
  <c r="J576" i="6"/>
  <c r="J416" i="6"/>
  <c r="J320" i="6"/>
  <c r="J227" i="6"/>
  <c r="J278" i="6"/>
  <c r="J39" i="6"/>
  <c r="J671" i="6"/>
  <c r="J607" i="6"/>
  <c r="J575" i="6"/>
  <c r="J511" i="6"/>
  <c r="J479" i="6"/>
  <c r="J383" i="6"/>
  <c r="J351" i="6"/>
  <c r="J319" i="6"/>
  <c r="J274" i="6"/>
  <c r="J265" i="6"/>
  <c r="J192" i="6"/>
  <c r="J119" i="6"/>
  <c r="J766" i="6"/>
  <c r="J734" i="6"/>
  <c r="J670" i="6"/>
  <c r="J606" i="6"/>
  <c r="J574" i="6"/>
  <c r="J510" i="6"/>
  <c r="J478" i="6"/>
  <c r="J446" i="6"/>
  <c r="J382" i="6"/>
  <c r="J350" i="6"/>
  <c r="J281" i="6"/>
  <c r="J214" i="6"/>
  <c r="J109" i="6"/>
  <c r="J62" i="6"/>
  <c r="J539" i="6"/>
  <c r="J666" i="6"/>
  <c r="J474" i="6"/>
  <c r="J258" i="6"/>
  <c r="J43" i="6"/>
  <c r="J697" i="6"/>
  <c r="J313" i="6"/>
  <c r="J161" i="6"/>
  <c r="J760" i="6"/>
  <c r="J600" i="6"/>
  <c r="J376" i="6"/>
  <c r="J243" i="6"/>
  <c r="J727" i="6"/>
  <c r="J599" i="6"/>
  <c r="J375" i="6"/>
  <c r="J160" i="6"/>
  <c r="J203" i="6"/>
  <c r="J126" i="6"/>
  <c r="J141" i="6"/>
  <c r="J40" i="6"/>
  <c r="J790" i="6"/>
  <c r="J758" i="6"/>
  <c r="J726" i="6"/>
  <c r="J694" i="6"/>
  <c r="J630" i="6"/>
  <c r="J598" i="6"/>
  <c r="J534" i="6"/>
  <c r="J502" i="6"/>
  <c r="J406" i="6"/>
  <c r="J374" i="6"/>
  <c r="J310" i="6"/>
  <c r="J238" i="6"/>
  <c r="J220" i="6"/>
  <c r="J154" i="6"/>
  <c r="J301" i="6"/>
  <c r="J118" i="6"/>
  <c r="J37" i="6"/>
  <c r="J22" i="6"/>
  <c r="J725" i="6"/>
  <c r="J693" i="6"/>
  <c r="J597" i="6"/>
  <c r="J565" i="6"/>
  <c r="J533" i="6"/>
  <c r="J501" i="6"/>
  <c r="J405" i="6"/>
  <c r="J373" i="6"/>
  <c r="J341" i="6"/>
  <c r="J309" i="6"/>
  <c r="J146" i="6"/>
  <c r="J198" i="6"/>
  <c r="J272" i="6"/>
  <c r="J127" i="6"/>
  <c r="J33" i="6"/>
  <c r="J26" i="6"/>
  <c r="J264" i="6"/>
  <c r="J763" i="6"/>
  <c r="J571" i="6"/>
  <c r="J86" i="6"/>
  <c r="J538" i="6"/>
  <c r="J314" i="6"/>
  <c r="J84" i="6"/>
  <c r="J761" i="6"/>
  <c r="J409" i="6"/>
  <c r="J24" i="6"/>
  <c r="J440" i="6"/>
  <c r="J254" i="6"/>
  <c r="J500" i="6"/>
  <c r="J404" i="6"/>
  <c r="J308" i="6"/>
  <c r="J169" i="6"/>
  <c r="J659" i="6"/>
  <c r="J563" i="6"/>
  <c r="J307" i="6"/>
  <c r="J249" i="6"/>
  <c r="J20" i="6"/>
  <c r="J722" i="6"/>
  <c r="J434" i="6"/>
  <c r="J370" i="6"/>
  <c r="J212" i="6"/>
  <c r="J183" i="6"/>
  <c r="J289" i="6"/>
  <c r="J237" i="6"/>
  <c r="J93" i="6"/>
  <c r="J108" i="6"/>
  <c r="J753" i="6"/>
  <c r="J721" i="6"/>
  <c r="J625" i="6"/>
  <c r="J593" i="6"/>
  <c r="J497" i="6"/>
  <c r="J433" i="6"/>
  <c r="J369" i="6"/>
  <c r="J337" i="6"/>
  <c r="J296" i="6"/>
  <c r="J209" i="6"/>
  <c r="J178" i="6"/>
  <c r="J282" i="6"/>
  <c r="J148" i="6"/>
  <c r="J107" i="6"/>
  <c r="J56" i="6"/>
  <c r="J603" i="6"/>
  <c r="J347" i="6"/>
  <c r="J570" i="6"/>
  <c r="J163" i="6"/>
  <c r="J537" i="6"/>
  <c r="J792" i="6"/>
  <c r="J344" i="6"/>
  <c r="J59" i="6"/>
  <c r="J535" i="6"/>
  <c r="J343" i="6"/>
  <c r="J788" i="6"/>
  <c r="J195" i="6"/>
  <c r="J122" i="6"/>
  <c r="J595" i="6"/>
  <c r="J467" i="6"/>
  <c r="J371" i="6"/>
  <c r="J215" i="6"/>
  <c r="J158" i="6"/>
  <c r="J117" i="6"/>
  <c r="J658" i="6"/>
  <c r="J562" i="6"/>
  <c r="J498" i="6"/>
  <c r="J752" i="6"/>
  <c r="J624" i="6"/>
  <c r="J560" i="6"/>
  <c r="J496" i="6"/>
  <c r="J400" i="6"/>
  <c r="J336" i="6"/>
  <c r="J91" i="6"/>
  <c r="J719" i="6"/>
  <c r="J527" i="6"/>
  <c r="J463" i="6"/>
  <c r="J431" i="6"/>
  <c r="J399" i="6"/>
  <c r="J162" i="6"/>
  <c r="J244" i="6"/>
  <c r="J298" i="6"/>
  <c r="J88" i="6"/>
  <c r="J15" i="6"/>
  <c r="J635" i="6"/>
  <c r="J411" i="6"/>
  <c r="J634" i="6"/>
  <c r="J442" i="6"/>
  <c r="J263" i="6"/>
  <c r="J230" i="6"/>
  <c r="J345" i="6"/>
  <c r="J76" i="6"/>
  <c r="J408" i="6"/>
  <c r="J149" i="6"/>
  <c r="J660" i="6"/>
  <c r="J699" i="6"/>
  <c r="J315" i="6"/>
  <c r="J698" i="6"/>
  <c r="J633" i="6"/>
  <c r="J441" i="6"/>
  <c r="J172" i="6"/>
  <c r="J25" i="6"/>
  <c r="J692" i="6"/>
  <c r="J667" i="6"/>
  <c r="J475" i="6"/>
  <c r="J410" i="6"/>
  <c r="J182" i="6"/>
  <c r="J665" i="6"/>
  <c r="J473" i="6"/>
  <c r="J74" i="6"/>
  <c r="J696" i="6"/>
  <c r="J504" i="6"/>
  <c r="J312" i="6"/>
  <c r="J71" i="6"/>
  <c r="J759" i="6"/>
  <c r="J631" i="6"/>
  <c r="J503" i="6"/>
  <c r="J246" i="6"/>
  <c r="J724" i="6"/>
  <c r="J564" i="6"/>
  <c r="J468" i="6"/>
  <c r="J221" i="6"/>
  <c r="J300" i="6"/>
  <c r="J787" i="6"/>
  <c r="J691" i="6"/>
  <c r="J435" i="6"/>
  <c r="J339" i="6"/>
  <c r="J295" i="6"/>
  <c r="J594" i="6"/>
  <c r="J466" i="6"/>
  <c r="J338" i="6"/>
  <c r="J720" i="6"/>
  <c r="J656" i="6"/>
  <c r="J592" i="6"/>
  <c r="J528" i="6"/>
  <c r="J464" i="6"/>
  <c r="J368" i="6"/>
  <c r="J291" i="6"/>
  <c r="J165" i="6"/>
  <c r="J223" i="6"/>
  <c r="J90" i="6"/>
  <c r="J52" i="6"/>
  <c r="J751" i="6"/>
  <c r="J655" i="6"/>
  <c r="J623" i="6"/>
  <c r="J559" i="6"/>
  <c r="J750" i="6"/>
  <c r="J686" i="6"/>
  <c r="J654" i="6"/>
  <c r="J558" i="6"/>
  <c r="J526" i="6"/>
  <c r="J462" i="6"/>
  <c r="J430" i="6"/>
  <c r="J398" i="6"/>
  <c r="J334" i="6"/>
  <c r="J194" i="6"/>
  <c r="J240" i="6"/>
  <c r="J83" i="6"/>
  <c r="J44" i="6"/>
  <c r="J685" i="6"/>
  <c r="J621" i="6"/>
  <c r="J557" i="6"/>
  <c r="J525" i="6"/>
  <c r="J429" i="6"/>
  <c r="J397" i="6"/>
  <c r="J333" i="6"/>
  <c r="J280" i="6"/>
  <c r="J188" i="6"/>
  <c r="J229" i="6"/>
  <c r="J290" i="6"/>
  <c r="J210" i="6"/>
  <c r="J73" i="6"/>
  <c r="J103" i="6"/>
  <c r="J34" i="6"/>
  <c r="J16" i="6"/>
  <c r="J780" i="6"/>
  <c r="J748" i="6"/>
  <c r="J684" i="6"/>
  <c r="J652" i="6"/>
  <c r="J620" i="6"/>
  <c r="J332" i="6"/>
  <c r="J273" i="6"/>
  <c r="J180" i="6"/>
  <c r="J226" i="6"/>
  <c r="J286" i="6"/>
  <c r="J207" i="6"/>
  <c r="J140" i="6"/>
  <c r="J101" i="6"/>
  <c r="J359" i="6"/>
  <c r="J709" i="6"/>
  <c r="J548" i="6"/>
  <c r="J420" i="6"/>
  <c r="J487" i="6"/>
  <c r="J454" i="6"/>
  <c r="J573" i="6"/>
  <c r="J55" i="6"/>
  <c r="J124" i="6"/>
  <c r="J645" i="6"/>
  <c r="J242" i="6"/>
  <c r="J682" i="6"/>
  <c r="J208" i="6"/>
  <c r="J175" i="6"/>
  <c r="J776" i="6"/>
  <c r="J584" i="6"/>
  <c r="J72" i="6"/>
  <c r="J38" i="6"/>
  <c r="J609" i="6"/>
  <c r="J512" i="6"/>
  <c r="J384" i="6"/>
  <c r="J294" i="6"/>
  <c r="J193" i="6"/>
  <c r="J323" i="6"/>
  <c r="J735" i="6"/>
  <c r="J791" i="6"/>
  <c r="J695" i="6"/>
  <c r="J407" i="6"/>
  <c r="J311" i="6"/>
  <c r="J260" i="6"/>
  <c r="J346" i="6"/>
  <c r="J225" i="6"/>
  <c r="J657" i="6"/>
  <c r="J561" i="6"/>
  <c r="J465" i="6"/>
  <c r="J432" i="6"/>
  <c r="J277" i="6"/>
  <c r="J476" i="6"/>
  <c r="J762" i="6"/>
  <c r="J596" i="6"/>
  <c r="J335" i="6"/>
  <c r="J87" i="6"/>
  <c r="J668" i="6"/>
  <c r="J372" i="6"/>
  <c r="J723" i="6"/>
  <c r="J622" i="6"/>
  <c r="J157" i="6"/>
  <c r="J536" i="6"/>
  <c r="J104" i="6"/>
  <c r="J749" i="6"/>
  <c r="J142" i="6"/>
  <c r="J443" i="6"/>
  <c r="J632" i="6"/>
  <c r="J499" i="6"/>
  <c r="J524" i="6"/>
  <c r="J396" i="6"/>
  <c r="J731" i="6"/>
  <c r="J507" i="6"/>
  <c r="J379" i="6"/>
  <c r="J305" i="6"/>
  <c r="J568" i="6"/>
  <c r="J186" i="6"/>
  <c r="J235" i="6"/>
  <c r="J438" i="6"/>
  <c r="J201" i="6"/>
  <c r="J168" i="6"/>
  <c r="J252" i="6"/>
  <c r="J628" i="6"/>
  <c r="J152" i="6"/>
  <c r="J531" i="6"/>
  <c r="J135" i="6"/>
  <c r="J65" i="6"/>
  <c r="J770" i="6"/>
  <c r="J482" i="6"/>
  <c r="J80" i="6"/>
  <c r="J785" i="6"/>
  <c r="J449" i="6"/>
  <c r="J13" i="6"/>
  <c r="J704" i="6"/>
  <c r="J287" i="6"/>
  <c r="J494" i="6"/>
  <c r="J115" i="6"/>
  <c r="J604" i="6"/>
  <c r="J460" i="6"/>
  <c r="J30" i="6"/>
  <c r="J555" i="6"/>
  <c r="J459" i="6"/>
  <c r="J427" i="6"/>
  <c r="J185" i="6"/>
  <c r="J167" i="6"/>
  <c r="J47" i="6"/>
  <c r="J64" i="6"/>
  <c r="J730" i="6"/>
  <c r="J329" i="6"/>
  <c r="J743" i="6"/>
  <c r="J663" i="6"/>
  <c r="J471" i="6"/>
  <c r="J285" i="6"/>
  <c r="J251" i="6"/>
  <c r="J234" i="6"/>
  <c r="J200" i="6"/>
  <c r="J114" i="6"/>
  <c r="J756" i="6"/>
  <c r="J151" i="6"/>
  <c r="J29" i="6"/>
  <c r="J675" i="6"/>
  <c r="J530" i="6"/>
  <c r="J402" i="6"/>
  <c r="J304" i="6"/>
  <c r="J769" i="6"/>
  <c r="J689" i="6"/>
  <c r="J353" i="6"/>
  <c r="J95" i="6"/>
  <c r="J784" i="6"/>
  <c r="J703" i="6"/>
  <c r="J639" i="6"/>
  <c r="J543" i="6"/>
  <c r="J217" i="6"/>
  <c r="J590" i="6"/>
  <c r="J414" i="6"/>
  <c r="J366" i="6"/>
  <c r="J717" i="6"/>
  <c r="J493" i="6"/>
  <c r="J317" i="6"/>
  <c r="J269" i="6"/>
  <c r="J236" i="6"/>
  <c r="J98" i="6"/>
  <c r="J618" i="6"/>
  <c r="J745" i="6"/>
  <c r="J569" i="6"/>
  <c r="J664" i="6"/>
  <c r="J520" i="6"/>
  <c r="J472" i="6"/>
  <c r="J392" i="6"/>
  <c r="J439" i="6"/>
  <c r="J342" i="6"/>
  <c r="J170" i="6"/>
  <c r="J136" i="6"/>
  <c r="J757" i="6"/>
  <c r="J677" i="6"/>
  <c r="J629" i="6"/>
  <c r="J580" i="6"/>
  <c r="J532" i="6"/>
  <c r="J771" i="6"/>
  <c r="J483" i="6"/>
  <c r="J403" i="6"/>
  <c r="J66" i="6"/>
  <c r="J786" i="6"/>
  <c r="J690" i="6"/>
  <c r="J450" i="6"/>
  <c r="J354" i="6"/>
  <c r="J153" i="6"/>
  <c r="J705" i="6"/>
  <c r="J640" i="6"/>
  <c r="J544" i="6"/>
  <c r="J306" i="6"/>
  <c r="J591" i="6"/>
  <c r="J495" i="6"/>
  <c r="J415" i="6"/>
  <c r="J367" i="6"/>
  <c r="J202" i="6"/>
  <c r="J288" i="6"/>
  <c r="J219" i="6"/>
  <c r="J116" i="6"/>
  <c r="J48" i="6"/>
  <c r="J718" i="6"/>
  <c r="J318" i="6"/>
  <c r="J271" i="6"/>
  <c r="J187" i="6"/>
  <c r="J81" i="6"/>
  <c r="J32" i="6"/>
  <c r="J14" i="6"/>
  <c r="J653" i="6"/>
  <c r="J605" i="6"/>
  <c r="J461" i="6"/>
  <c r="J253" i="6"/>
  <c r="J556" i="6"/>
  <c r="J508" i="6"/>
  <c r="J428" i="6"/>
  <c r="J380" i="6"/>
  <c r="J378" i="6"/>
  <c r="J506" i="6"/>
  <c r="J615" i="6"/>
  <c r="J437" i="6"/>
  <c r="J783" i="6"/>
  <c r="J651" i="6"/>
  <c r="J426" i="6"/>
  <c r="J716" i="6"/>
  <c r="J578" i="6"/>
  <c r="J303" i="6"/>
  <c r="J492" i="6"/>
  <c r="J567" i="6"/>
  <c r="J481" i="6"/>
  <c r="J702" i="6"/>
  <c r="J627" i="6"/>
  <c r="J448" i="6"/>
  <c r="J729" i="6"/>
  <c r="J755" i="6"/>
  <c r="J688" i="6"/>
  <c r="J602" i="6"/>
  <c r="J554" i="6"/>
  <c r="J133" i="6"/>
  <c r="J768" i="6"/>
  <c r="J413" i="6"/>
  <c r="J674" i="6"/>
  <c r="J782" i="6"/>
  <c r="J542" i="6"/>
  <c r="J742" i="6"/>
  <c r="J365" i="6"/>
  <c r="J662" i="6"/>
  <c r="J79" i="6"/>
  <c r="J601" i="6"/>
  <c r="J553" i="6"/>
  <c r="J505" i="6"/>
  <c r="J425" i="6"/>
  <c r="J377" i="6"/>
  <c r="J199" i="6"/>
  <c r="J113" i="6"/>
  <c r="J470" i="6"/>
  <c r="J673" i="6"/>
  <c r="J577" i="6"/>
  <c r="J529" i="6"/>
  <c r="J401" i="6"/>
  <c r="J480" i="6"/>
  <c r="J352" i="6"/>
  <c r="J638" i="6"/>
  <c r="J589" i="6"/>
  <c r="J715" i="6"/>
  <c r="J491" i="6"/>
  <c r="J268" i="6"/>
  <c r="J650" i="6"/>
  <c r="J458" i="6"/>
  <c r="J233" i="6"/>
  <c r="J28" i="6"/>
  <c r="J250" i="6"/>
  <c r="J728" i="6"/>
  <c r="J328" i="6"/>
  <c r="J166" i="6"/>
  <c r="J614" i="6"/>
  <c r="J566" i="6"/>
  <c r="J741" i="6"/>
  <c r="J661" i="6"/>
  <c r="J517" i="6"/>
  <c r="J469" i="6"/>
  <c r="J389" i="6"/>
  <c r="J436" i="6"/>
  <c r="J340" i="6"/>
  <c r="J184" i="6"/>
  <c r="J94" i="6"/>
  <c r="J754" i="6"/>
  <c r="J626" i="6"/>
  <c r="J150" i="6"/>
  <c r="J63" i="6"/>
  <c r="J302" i="6"/>
  <c r="J767" i="6"/>
  <c r="J687" i="6"/>
  <c r="J447" i="6"/>
  <c r="J46" i="6"/>
  <c r="J284" i="6"/>
  <c r="J216" i="6"/>
  <c r="J781" i="6"/>
  <c r="J701" i="6"/>
  <c r="J637" i="6"/>
  <c r="J541" i="6"/>
  <c r="J588" i="6"/>
  <c r="J412" i="6"/>
  <c r="J364" i="6"/>
  <c r="J316" i="6"/>
  <c r="J13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<sst xmlns="http://schemas.openxmlformats.org/spreadsheetml/2006/main" count="1589" uniqueCount="811">
  <si>
    <t>FORM A / B</t>
  </si>
  <si>
    <t>Main Twn : 1</t>
  </si>
  <si>
    <t>UA Comp. : 2</t>
  </si>
  <si>
    <t>Prepared by</t>
  </si>
  <si>
    <t>State Name &amp; Cd</t>
  </si>
  <si>
    <t>Sample Size</t>
  </si>
  <si>
    <t>Total Voters</t>
  </si>
  <si>
    <t>Sampling Interval (K1)</t>
  </si>
  <si>
    <t>Random No.</t>
  </si>
  <si>
    <t>Voter list detail*</t>
  </si>
  <si>
    <t>AC / Ward No.</t>
  </si>
  <si>
    <t>AC / Ward Name</t>
  </si>
  <si>
    <t>E Part   No</t>
  </si>
  <si>
    <t>No of voters</t>
  </si>
  <si>
    <t xml:space="preserve">in EP </t>
  </si>
  <si>
    <t>Cum.</t>
  </si>
  <si>
    <t>Total</t>
  </si>
  <si>
    <t>Cluster #</t>
  </si>
  <si>
    <t>No of clusters</t>
  </si>
  <si>
    <t>Town/Village Name &amp; Code</t>
  </si>
  <si>
    <t>UA/ Town Class</t>
  </si>
  <si>
    <t>Delhi</t>
  </si>
  <si>
    <t>Voter among universe</t>
  </si>
  <si>
    <t>Selected voter within EP</t>
  </si>
  <si>
    <t>BURARI</t>
  </si>
  <si>
    <t>TIMARPUR</t>
  </si>
  <si>
    <t>NERELA</t>
  </si>
  <si>
    <t>URL</t>
  </si>
  <si>
    <t>total</t>
  </si>
  <si>
    <t>expected</t>
  </si>
  <si>
    <t>https://cookiepdf-v2-assests.s3.ap-south-1.amazonaws.com/NCT+OF+Delhi/NORTH/1+-+NERELA_295/2025-EROLLGEN-U05-1-FinalRoll-Revision1-ENG-1-WI.pdf</t>
  </si>
  <si>
    <t>https://cookiepdf-v2-assests.s3.ap-south-1.amazonaws.com/NCT+OF+Delhi/NORTH/1+-+NERELA_295/2025-EROLLGEN-U05-1-FinalRoll-Revision1-ENG-2-WI.pdf</t>
  </si>
  <si>
    <t>https://cookiepdf-v2-assests.s3.ap-south-1.amazonaws.com/NCT+OF+Delhi/NORTH/1+-+NERELA_295/2025-EROLLGEN-U05-1-FinalRoll-Revision1-ENG-3-WI.pdf</t>
  </si>
  <si>
    <t>https://cookiepdf-v2-assests.s3.ap-south-1.amazonaws.com/NCT+OF+Delhi/NORTH/1+-+NERELA_295/2025-EROLLGEN-U05-1-FinalRoll-Revision1-ENG-4-WI.pdf</t>
  </si>
  <si>
    <t>https://cookiepdf-v2-assests.s3.ap-south-1.amazonaws.com/NCT+OF+Delhi/NORTH/1+-+NERELA_295/2025-EROLLGEN-U05-1-FinalRoll-Revision1-ENG-5-WI.pdf</t>
  </si>
  <si>
    <t>https://cookiepdf-v2-assests.s3.ap-south-1.amazonaws.com/NCT+OF+Delhi/NORTH/1+-+NERELA_295/2025-EROLLGEN-U05-1-FinalRoll-Revision1-ENG-6-WI.pdf</t>
  </si>
  <si>
    <t>https://cookiepdf-v2-assests.s3.ap-south-1.amazonaws.com/NCT+OF+Delhi/NORTH/1+-+NERELA_295/2025-EROLLGEN-U05-1-FinalRoll-Revision1-ENG-7-WI.pdf</t>
  </si>
  <si>
    <t>https://cookiepdf-v2-assests.s3.ap-south-1.amazonaws.com/NCT+OF+Delhi/NORTH/1+-+NERELA_295/2025-EROLLGEN-U05-1-FinalRoll-Revision1-ENG-8-WI.pdf</t>
  </si>
  <si>
    <t>https://cookiepdf-v2-assests.s3.ap-south-1.amazonaws.com/NCT+OF+Delhi/NORTH/1+-+NERELA_295/2025-EROLLGEN-U05-1-FinalRoll-Revision1-ENG-9-WI.pdf</t>
  </si>
  <si>
    <t>https://cookiepdf-v2-assests.s3.ap-south-1.amazonaws.com/NCT+OF+Delhi/NORTH/1+-+NERELA_295/2025-EROLLGEN-U05-1-FinalRoll-Revision1-ENG-10-WI.pdf</t>
  </si>
  <si>
    <t>https://cookiepdf-v2-assests.s3.ap-south-1.amazonaws.com/NCT+OF+Delhi/NORTH/1+-+NERELA_295/2025-EROLLGEN-U05-1-FinalRoll-Revision1-ENG-11-WI.pdf</t>
  </si>
  <si>
    <t>https://cookiepdf-v2-assests.s3.ap-south-1.amazonaws.com/NCT+OF+Delhi/NORTH/1+-+NERELA_295/2025-EROLLGEN-U05-1-FinalRoll-Revision1-ENG-12-WI.pdf</t>
  </si>
  <si>
    <t>https://cookiepdf-v2-assests.s3.ap-south-1.amazonaws.com/NCT+OF+Delhi/NORTH/1+-+NERELA_295/2025-EROLLGEN-U05-1-FinalRoll-Revision1-ENG-13-WI.pdf</t>
  </si>
  <si>
    <t>https://cookiepdf-v2-assests.s3.ap-south-1.amazonaws.com/NCT+OF+Delhi/NORTH/1+-+NERELA_295/2025-EROLLGEN-U05-1-FinalRoll-Revision1-ENG-14-WI.pdf</t>
  </si>
  <si>
    <t>https://cookiepdf-v2-assests.s3.ap-south-1.amazonaws.com/NCT+OF+Delhi/NORTH/1+-+NERELA_295/2025-EROLLGEN-U05-1-FinalRoll-Revision1-ENG-15-WI.pdf</t>
  </si>
  <si>
    <t>https://cookiepdf-v2-assests.s3.ap-south-1.amazonaws.com/NCT+OF+Delhi/NORTH/1+-+NERELA_295/2025-EROLLGEN-U05-1-FinalRoll-Revision1-ENG-16-WI.pdf</t>
  </si>
  <si>
    <t>https://cookiepdf-v2-assests.s3.ap-south-1.amazonaws.com/NCT+OF+Delhi/NORTH/1+-+NERELA_295/2025-EROLLGEN-U05-1-FinalRoll-Revision1-ENG-17-WI.pdf</t>
  </si>
  <si>
    <t>https://cookiepdf-v2-assests.s3.ap-south-1.amazonaws.com/NCT+OF+Delhi/NORTH/1+-+NERELA_295/2025-EROLLGEN-U05-1-FinalRoll-Revision1-ENG-18-WI.pdf</t>
  </si>
  <si>
    <t>https://cookiepdf-v2-assests.s3.ap-south-1.amazonaws.com/NCT+OF+Delhi/NORTH/1+-+NERELA_295/2025-EROLLGEN-U05-1-FinalRoll-Revision1-ENG-19-WI.pdf</t>
  </si>
  <si>
    <t>https://cookiepdf-v2-assests.s3.ap-south-1.amazonaws.com/NCT+OF+Delhi/NORTH/1+-+NERELA_295/2025-EROLLGEN-U05-1-FinalRoll-Revision1-ENG-20-WI.pdf</t>
  </si>
  <si>
    <t>https://cookiepdf-v2-assests.s3.ap-south-1.amazonaws.com/NCT+OF+Delhi/NORTH/1+-+NERELA_295/2025-EROLLGEN-U05-1-FinalRoll-Revision1-ENG-21-WI.pdf</t>
  </si>
  <si>
    <t>https://cookiepdf-v2-assests.s3.ap-south-1.amazonaws.com/NCT+OF+Delhi/NORTH/1+-+NERELA_295/2025-EROLLGEN-U05-1-FinalRoll-Revision1-ENG-22-WI.pdf</t>
  </si>
  <si>
    <t>https://cookiepdf-v2-assests.s3.ap-south-1.amazonaws.com/NCT+OF+Delhi/NORTH/1+-+NERELA_295/2025-EROLLGEN-U05-1-FinalRoll-Revision1-ENG-23-WI.pdf</t>
  </si>
  <si>
    <t>https://cookiepdf-v2-assests.s3.ap-south-1.amazonaws.com/NCT+OF+Delhi/NORTH/1+-+NERELA_295/2025-EROLLGEN-U05-1-FinalRoll-Revision1-ENG-24-WI.pdf</t>
  </si>
  <si>
    <t>https://cookiepdf-v2-assests.s3.ap-south-1.amazonaws.com/NCT+OF+Delhi/NORTH/1+-+NERELA_295/2025-EROLLGEN-U05-1-FinalRoll-Revision1-ENG-25-WI.pdf</t>
  </si>
  <si>
    <t>https://cookiepdf-v2-assests.s3.ap-south-1.amazonaws.com/NCT+OF+Delhi/NORTH/1+-+NERELA_295/2025-EROLLGEN-U05-1-FinalRoll-Revision1-ENG-26-WI.pdf</t>
  </si>
  <si>
    <t>https://cookiepdf-v2-assests.s3.ap-south-1.amazonaws.com/NCT+OF+Delhi/NORTH/1+-+NERELA_295/2025-EROLLGEN-U05-1-FinalRoll-Revision1-ENG-27-WI.pdf</t>
  </si>
  <si>
    <t>https://cookiepdf-v2-assests.s3.ap-south-1.amazonaws.com/NCT+OF+Delhi/NORTH/1+-+NERELA_295/2025-EROLLGEN-U05-1-FinalRoll-Revision1-ENG-28-WI.pdf</t>
  </si>
  <si>
    <t>https://cookiepdf-v2-assests.s3.ap-south-1.amazonaws.com/NCT+OF+Delhi/NORTH/1+-+NERELA_295/2025-EROLLGEN-U05-1-FinalRoll-Revision1-ENG-29-WI.pdf</t>
  </si>
  <si>
    <t>https://cookiepdf-v2-assests.s3.ap-south-1.amazonaws.com/NCT+OF+Delhi/NORTH/1+-+NERELA_295/2025-EROLLGEN-U05-1-FinalRoll-Revision1-ENG-30-WI.pdf</t>
  </si>
  <si>
    <t>https://cookiepdf-v2-assests.s3.ap-south-1.amazonaws.com/NCT+OF+Delhi/NORTH/1+-+NERELA_295/2025-EROLLGEN-U05-1-FinalRoll-Revision1-ENG-31-WI.pdf</t>
  </si>
  <si>
    <t>https://cookiepdf-v2-assests.s3.ap-south-1.amazonaws.com/NCT+OF+Delhi/NORTH/1+-+NERELA_295/2025-EROLLGEN-U05-1-FinalRoll-Revision1-ENG-32-WI.pdf</t>
  </si>
  <si>
    <t>https://cookiepdf-v2-assests.s3.ap-south-1.amazonaws.com/NCT+OF+Delhi/NORTH/1+-+NERELA_295/2025-EROLLGEN-U05-1-FinalRoll-Revision1-ENG-33-WI.pdf</t>
  </si>
  <si>
    <t>https://cookiepdf-v2-assests.s3.ap-south-1.amazonaws.com/NCT+OF+Delhi/NORTH/1+-+NERELA_295/2025-EROLLGEN-U05-1-FinalRoll-Revision1-ENG-34-WI.pdf</t>
  </si>
  <si>
    <t>https://cookiepdf-v2-assests.s3.ap-south-1.amazonaws.com/NCT+OF+Delhi/NORTH/1+-+NERELA_295/2025-EROLLGEN-U05-1-FinalRoll-Revision1-ENG-35-WI.pdf</t>
  </si>
  <si>
    <t>https://cookiepdf-v2-assests.s3.ap-south-1.amazonaws.com/NCT+OF+Delhi/NORTH/1+-+NERELA_295/2025-EROLLGEN-U05-1-FinalRoll-Revision1-ENG-36-WI.pdf</t>
  </si>
  <si>
    <t>https://cookiepdf-v2-assests.s3.ap-south-1.amazonaws.com/NCT+OF+Delhi/NORTH/1+-+NERELA_295/2025-EROLLGEN-U05-1-FinalRoll-Revision1-ENG-37-WI.pdf</t>
  </si>
  <si>
    <t>https://cookiepdf-v2-assests.s3.ap-south-1.amazonaws.com/NCT+OF+Delhi/NORTH/1+-+NERELA_295/2025-EROLLGEN-U05-1-FinalRoll-Revision1-ENG-38-WI.pdf</t>
  </si>
  <si>
    <t>https://cookiepdf-v2-assests.s3.ap-south-1.amazonaws.com/NCT+OF+Delhi/NORTH/1+-+NERELA_295/2025-EROLLGEN-U05-1-FinalRoll-Revision1-ENG-39-WI.pdf</t>
  </si>
  <si>
    <t>https://cookiepdf-v2-assests.s3.ap-south-1.amazonaws.com/NCT+OF+Delhi/NORTH/1+-+NERELA_295/2025-EROLLGEN-U05-1-FinalRoll-Revision1-ENG-40-WI.pdf</t>
  </si>
  <si>
    <t>https://cookiepdf-v2-assests.s3.ap-south-1.amazonaws.com/NCT+OF+Delhi/NORTH/1+-+NERELA_295/2025-EROLLGEN-U05-1-FinalRoll-Revision1-ENG-41-WI.pdf</t>
  </si>
  <si>
    <t>https://cookiepdf-v2-assests.s3.ap-south-1.amazonaws.com/NCT+OF+Delhi/NORTH/1+-+NERELA_295/2025-EROLLGEN-U05-1-FinalRoll-Revision1-ENG-42-WI.pdf</t>
  </si>
  <si>
    <t>https://cookiepdf-v2-assests.s3.ap-south-1.amazonaws.com/NCT+OF+Delhi/NORTH/1+-+NERELA_295/2025-EROLLGEN-U05-1-FinalRoll-Revision1-ENG-43-WI.pdf</t>
  </si>
  <si>
    <t>https://cookiepdf-v2-assests.s3.ap-south-1.amazonaws.com/NCT+OF+Delhi/NORTH/1+-+NERELA_295/2025-EROLLGEN-U05-1-FinalRoll-Revision1-ENG-44-WI.pdf</t>
  </si>
  <si>
    <t>https://cookiepdf-v2-assests.s3.ap-south-1.amazonaws.com/NCT+OF+Delhi/NORTH/1+-+NERELA_295/2025-EROLLGEN-U05-1-FinalRoll-Revision1-ENG-45-WI.pdf</t>
  </si>
  <si>
    <t>https://cookiepdf-v2-assests.s3.ap-south-1.amazonaws.com/NCT+OF+Delhi/NORTH/1+-+NERELA_295/2025-EROLLGEN-U05-1-FinalRoll-Revision1-ENG-46-WI.pdf</t>
  </si>
  <si>
    <t>https://cookiepdf-v2-assests.s3.ap-south-1.amazonaws.com/NCT+OF+Delhi/NORTH/1+-+NERELA_295/2025-EROLLGEN-U05-1-FinalRoll-Revision1-ENG-47-WI.pdf</t>
  </si>
  <si>
    <t>https://cookiepdf-v2-assests.s3.ap-south-1.amazonaws.com/NCT+OF+Delhi/NORTH/1+-+NERELA_295/2025-EROLLGEN-U05-1-FinalRoll-Revision1-ENG-48-WI.pdf</t>
  </si>
  <si>
    <t>https://cookiepdf-v2-assests.s3.ap-south-1.amazonaws.com/NCT+OF+Delhi/NORTH/1+-+NERELA_295/2025-EROLLGEN-U05-1-FinalRoll-Revision1-ENG-49-WI.pdf</t>
  </si>
  <si>
    <t>https://cookiepdf-v2-assests.s3.ap-south-1.amazonaws.com/NCT+OF+Delhi/NORTH/1+-+NERELA_295/2025-EROLLGEN-U05-1-FinalRoll-Revision1-ENG-50-WI.pdf</t>
  </si>
  <si>
    <t>https://cookiepdf-v2-assests.s3.ap-south-1.amazonaws.com/NCT+OF+Delhi/NORTH/1+-+NERELA_295/2025-EROLLGEN-U05-1-FinalRoll-Revision1-ENG-51-WI.pdf</t>
  </si>
  <si>
    <t>https://cookiepdf-v2-assests.s3.ap-south-1.amazonaws.com/NCT+OF+Delhi/NORTH/1+-+NERELA_295/2025-EROLLGEN-U05-1-FinalRoll-Revision1-ENG-52-WI.pdf</t>
  </si>
  <si>
    <t>https://cookiepdf-v2-assests.s3.ap-south-1.amazonaws.com/NCT+OF+Delhi/NORTH/1+-+NERELA_295/2025-EROLLGEN-U05-1-FinalRoll-Revision1-ENG-53-WI.pdf</t>
  </si>
  <si>
    <t>https://cookiepdf-v2-assests.s3.ap-south-1.amazonaws.com/NCT+OF+Delhi/NORTH/1+-+NERELA_295/2025-EROLLGEN-U05-1-FinalRoll-Revision1-ENG-54-WI.pdf</t>
  </si>
  <si>
    <t>https://cookiepdf-v2-assests.s3.ap-south-1.amazonaws.com/NCT+OF+Delhi/NORTH/1+-+NERELA_295/2025-EROLLGEN-U05-1-FinalRoll-Revision1-ENG-55-WI.pdf</t>
  </si>
  <si>
    <t>https://cookiepdf-v2-assests.s3.ap-south-1.amazonaws.com/NCT+OF+Delhi/NORTH/1+-+NERELA_295/2025-EROLLGEN-U05-1-FinalRoll-Revision1-ENG-56-WI.pdf</t>
  </si>
  <si>
    <t>https://cookiepdf-v2-assests.s3.ap-south-1.amazonaws.com/NCT+OF+Delhi/NORTH/1+-+NERELA_295/2025-EROLLGEN-U05-1-FinalRoll-Revision1-ENG-57-WI.pdf</t>
  </si>
  <si>
    <t>https://cookiepdf-v2-assests.s3.ap-south-1.amazonaws.com/NCT+OF+Delhi/NORTH/1+-+NERELA_295/2025-EROLLGEN-U05-1-FinalRoll-Revision1-ENG-58-WI.pdf</t>
  </si>
  <si>
    <t>https://cookiepdf-v2-assests.s3.ap-south-1.amazonaws.com/NCT+OF+Delhi/NORTH/1+-+NERELA_295/2025-EROLLGEN-U05-1-FinalRoll-Revision1-ENG-59-WI.pdf</t>
  </si>
  <si>
    <t>https://cookiepdf-v2-assests.s3.ap-south-1.amazonaws.com/NCT+OF+Delhi/NORTH/1+-+NERELA_295/2025-EROLLGEN-U05-1-FinalRoll-Revision1-ENG-60-WI.pdf</t>
  </si>
  <si>
    <t>https://cookiepdf-v2-assests.s3.ap-south-1.amazonaws.com/NCT+OF+Delhi/NORTH/1+-+NERELA_295/2025-EROLLGEN-U05-1-FinalRoll-Revision1-ENG-61-WI.pdf</t>
  </si>
  <si>
    <t>https://cookiepdf-v2-assests.s3.ap-south-1.amazonaws.com/NCT+OF+Delhi/NORTH/1+-+NERELA_295/2025-EROLLGEN-U05-1-FinalRoll-Revision1-ENG-62-WI.pdf</t>
  </si>
  <si>
    <t>https://cookiepdf-v2-assests.s3.ap-south-1.amazonaws.com/NCT+OF+Delhi/NORTH/1+-+NERELA_295/2025-EROLLGEN-U05-1-FinalRoll-Revision1-ENG-63-WI.pdf</t>
  </si>
  <si>
    <t>https://cookiepdf-v2-assests.s3.ap-south-1.amazonaws.com/NCT+OF+Delhi/NORTH/1+-+NERELA_295/2025-EROLLGEN-U05-1-FinalRoll-Revision1-ENG-64-WI.pdf</t>
  </si>
  <si>
    <t>https://cookiepdf-v2-assests.s3.ap-south-1.amazonaws.com/NCT+OF+Delhi/NORTH/1+-+NERELA_295/2025-EROLLGEN-U05-1-FinalRoll-Revision1-ENG-65-WI.pdf</t>
  </si>
  <si>
    <t>https://cookiepdf-v2-assests.s3.ap-south-1.amazonaws.com/NCT+OF+Delhi/NORTH/1+-+NERELA_295/2025-EROLLGEN-U05-1-FinalRoll-Revision1-ENG-66-WI.pdf</t>
  </si>
  <si>
    <t>https://cookiepdf-v2-assests.s3.ap-south-1.amazonaws.com/NCT+OF+Delhi/NORTH/1+-+NERELA_295/2025-EROLLGEN-U05-1-FinalRoll-Revision1-ENG-67-WI.pdf</t>
  </si>
  <si>
    <t>https://cookiepdf-v2-assests.s3.ap-south-1.amazonaws.com/NCT+OF+Delhi/NORTH/1+-+NERELA_295/2025-EROLLGEN-U05-1-FinalRoll-Revision1-ENG-68-WI.pdf</t>
  </si>
  <si>
    <t>https://cookiepdf-v2-assests.s3.ap-south-1.amazonaws.com/NCT+OF+Delhi/NORTH/1+-+NERELA_295/2025-EROLLGEN-U05-1-FinalRoll-Revision1-ENG-69-WI.pdf</t>
  </si>
  <si>
    <t>https://cookiepdf-v2-assests.s3.ap-south-1.amazonaws.com/NCT+OF+Delhi/NORTH/1+-+NERELA_295/2025-EROLLGEN-U05-1-FinalRoll-Revision1-ENG-70-WI.pdf</t>
  </si>
  <si>
    <t>https://cookiepdf-v2-assests.s3.ap-south-1.amazonaws.com/NCT+OF+Delhi/NORTH/1+-+NERELA_295/2025-EROLLGEN-U05-1-FinalRoll-Revision1-ENG-71-WI.pdf</t>
  </si>
  <si>
    <t>https://cookiepdf-v2-assests.s3.ap-south-1.amazonaws.com/NCT+OF+Delhi/NORTH/1+-+NERELA_295/2025-EROLLGEN-U05-1-FinalRoll-Revision1-ENG-72-WI.pdf</t>
  </si>
  <si>
    <t>https://cookiepdf-v2-assests.s3.ap-south-1.amazonaws.com/NCT+OF+Delhi/NORTH/1+-+NERELA_295/2025-EROLLGEN-U05-1-FinalRoll-Revision1-ENG-73-WI.pdf</t>
  </si>
  <si>
    <t>https://cookiepdf-v2-assests.s3.ap-south-1.amazonaws.com/NCT+OF+Delhi/NORTH/1+-+NERELA_295/2025-EROLLGEN-U05-1-FinalRoll-Revision1-ENG-74-WI.pdf</t>
  </si>
  <si>
    <t>https://cookiepdf-v2-assests.s3.ap-south-1.amazonaws.com/NCT+OF+Delhi/NORTH/1+-+NERELA_295/2025-EROLLGEN-U05-1-FinalRoll-Revision1-ENG-75-WI.pdf</t>
  </si>
  <si>
    <t>https://cookiepdf-v2-assests.s3.ap-south-1.amazonaws.com/NCT+OF+Delhi/NORTH/1+-+NERELA_295/2025-EROLLGEN-U05-1-FinalRoll-Revision1-ENG-76-WI.pdf</t>
  </si>
  <si>
    <t>https://cookiepdf-v2-assests.s3.ap-south-1.amazonaws.com/NCT+OF+Delhi/NORTH/1+-+NERELA_295/2025-EROLLGEN-U05-1-FinalRoll-Revision1-ENG-77-WI.pdf</t>
  </si>
  <si>
    <t>https://cookiepdf-v2-assests.s3.ap-south-1.amazonaws.com/NCT+OF+Delhi/NORTH/1+-+NERELA_295/2025-EROLLGEN-U05-1-FinalRoll-Revision1-ENG-78-WI.pdf</t>
  </si>
  <si>
    <t>https://cookiepdf-v2-assests.s3.ap-south-1.amazonaws.com/NCT+OF+Delhi/NORTH/1+-+NERELA_295/2025-EROLLGEN-U05-1-FinalRoll-Revision1-ENG-79-WI.pdf</t>
  </si>
  <si>
    <t>https://cookiepdf-v2-assests.s3.ap-south-1.amazonaws.com/NCT+OF+Delhi/NORTH/1+-+NERELA_295/2025-EROLLGEN-U05-1-FinalRoll-Revision1-ENG-80-WI.pdf</t>
  </si>
  <si>
    <t>https://cookiepdf-v2-assests.s3.ap-south-1.amazonaws.com/NCT+OF+Delhi/NORTH/1+-+NERELA_295/2025-EROLLGEN-U05-1-FinalRoll-Revision1-ENG-81-WI.pdf</t>
  </si>
  <si>
    <t>https://cookiepdf-v2-assests.s3.ap-south-1.amazonaws.com/NCT+OF+Delhi/NORTH/1+-+NERELA_295/2025-EROLLGEN-U05-1-FinalRoll-Revision1-ENG-82-WI.pdf</t>
  </si>
  <si>
    <t>https://cookiepdf-v2-assests.s3.ap-south-1.amazonaws.com/NCT+OF+Delhi/NORTH/1+-+NERELA_295/2025-EROLLGEN-U05-1-FinalRoll-Revision1-ENG-83-WI.pdf</t>
  </si>
  <si>
    <t>https://cookiepdf-v2-assests.s3.ap-south-1.amazonaws.com/NCT+OF+Delhi/NORTH/1+-+NERELA_295/2025-EROLLGEN-U05-1-FinalRoll-Revision1-ENG-84-WI.pdf</t>
  </si>
  <si>
    <t>https://cookiepdf-v2-assests.s3.ap-south-1.amazonaws.com/NCT+OF+Delhi/NORTH/1+-+NERELA_295/2025-EROLLGEN-U05-1-FinalRoll-Revision1-ENG-85-WI.pdf</t>
  </si>
  <si>
    <t>https://cookiepdf-v2-assests.s3.ap-south-1.amazonaws.com/NCT+OF+Delhi/NORTH/1+-+NERELA_295/2025-EROLLGEN-U05-1-FinalRoll-Revision1-ENG-86-WI.pdf</t>
  </si>
  <si>
    <t>https://cookiepdf-v2-assests.s3.ap-south-1.amazonaws.com/NCT+OF+Delhi/NORTH/1+-+NERELA_295/2025-EROLLGEN-U05-1-FinalRoll-Revision1-ENG-87-WI.pdf</t>
  </si>
  <si>
    <t>https://cookiepdf-v2-assests.s3.ap-south-1.amazonaws.com/NCT+OF+Delhi/NORTH/1+-+NERELA_295/2025-EROLLGEN-U05-1-FinalRoll-Revision1-ENG-88-WI.pdf</t>
  </si>
  <si>
    <t>https://cookiepdf-v2-assests.s3.ap-south-1.amazonaws.com/NCT+OF+Delhi/NORTH/1+-+NERELA_295/2025-EROLLGEN-U05-1-FinalRoll-Revision1-ENG-89-WI.pdf</t>
  </si>
  <si>
    <t>https://cookiepdf-v2-assests.s3.ap-south-1.amazonaws.com/NCT+OF+Delhi/NORTH/1+-+NERELA_295/2025-EROLLGEN-U05-1-FinalRoll-Revision1-ENG-90-WI.pdf</t>
  </si>
  <si>
    <t>https://cookiepdf-v2-assests.s3.ap-south-1.amazonaws.com/NCT+OF+Delhi/NORTH/1+-+NERELA_295/2025-EROLLGEN-U05-1-FinalRoll-Revision1-ENG-91-WI.pdf</t>
  </si>
  <si>
    <t>https://cookiepdf-v2-assests.s3.ap-south-1.amazonaws.com/NCT+OF+Delhi/NORTH/1+-+NERELA_295/2025-EROLLGEN-U05-1-FinalRoll-Revision1-ENG-92-WI.pdf</t>
  </si>
  <si>
    <t>https://cookiepdf-v2-assests.s3.ap-south-1.amazonaws.com/NCT+OF+Delhi/NORTH/1+-+NERELA_295/2025-EROLLGEN-U05-1-FinalRoll-Revision1-ENG-93-WI.pdf</t>
  </si>
  <si>
    <t>https://cookiepdf-v2-assests.s3.ap-south-1.amazonaws.com/NCT+OF+Delhi/NORTH/1+-+NERELA_295/2025-EROLLGEN-U05-1-FinalRoll-Revision1-ENG-94-WI.pdf</t>
  </si>
  <si>
    <t>https://cookiepdf-v2-assests.s3.ap-south-1.amazonaws.com/NCT+OF+Delhi/NORTH/1+-+NERELA_295/2025-EROLLGEN-U05-1-FinalRoll-Revision1-ENG-95-WI.pdf</t>
  </si>
  <si>
    <t>https://cookiepdf-v2-assests.s3.ap-south-1.amazonaws.com/NCT+OF+Delhi/NORTH/1+-+NERELA_295/2025-EROLLGEN-U05-1-FinalRoll-Revision1-ENG-96-WI.pdf</t>
  </si>
  <si>
    <t>https://cookiepdf-v2-assests.s3.ap-south-1.amazonaws.com/NCT+OF+Delhi/NORTH/1+-+NERELA_295/2025-EROLLGEN-U05-1-FinalRoll-Revision1-ENG-97-WI.pdf</t>
  </si>
  <si>
    <t>https://cookiepdf-v2-assests.s3.ap-south-1.amazonaws.com/NCT+OF+Delhi/NORTH/1+-+NERELA_295/2025-EROLLGEN-U05-1-FinalRoll-Revision1-ENG-98-WI.pdf</t>
  </si>
  <si>
    <t>https://cookiepdf-v2-assests.s3.ap-south-1.amazonaws.com/NCT+OF+Delhi/NORTH/1+-+NERELA_295/2025-EROLLGEN-U05-1-FinalRoll-Revision1-ENG-99-WI.pdf</t>
  </si>
  <si>
    <t>https://cookiepdf-v2-assests.s3.ap-south-1.amazonaws.com/NCT+OF+Delhi/NORTH/1+-+NERELA_295/2025-EROLLGEN-U05-1-FinalRoll-Revision1-ENG-100-WI.pdf</t>
  </si>
  <si>
    <t>https://cookiepdf-v2-assests.s3.ap-south-1.amazonaws.com/NCT+OF+Delhi/NORTH/1+-+NERELA_295/2025-EROLLGEN-U05-1-FinalRoll-Revision1-ENG-101-WI.pdf</t>
  </si>
  <si>
    <t>https://cookiepdf-v2-assests.s3.ap-south-1.amazonaws.com/NCT+OF+Delhi/NORTH/1+-+NERELA_295/2025-EROLLGEN-U05-1-FinalRoll-Revision1-ENG-102-WI.pdf</t>
  </si>
  <si>
    <t>https://cookiepdf-v2-assests.s3.ap-south-1.amazonaws.com/NCT+OF+Delhi/NORTH/1+-+NERELA_295/2025-EROLLGEN-U05-1-FinalRoll-Revision1-ENG-103-WI.pdf</t>
  </si>
  <si>
    <t>https://cookiepdf-v2-assests.s3.ap-south-1.amazonaws.com/NCT+OF+Delhi/NORTH/1+-+NERELA_295/2025-EROLLGEN-U05-1-FinalRoll-Revision1-ENG-104-WI.pdf</t>
  </si>
  <si>
    <t>https://cookiepdf-v2-assests.s3.ap-south-1.amazonaws.com/NCT+OF+Delhi/NORTH/1+-+NERELA_295/2025-EROLLGEN-U05-1-FinalRoll-Revision1-ENG-105-WI.pdf</t>
  </si>
  <si>
    <t>https://cookiepdf-v2-assests.s3.ap-south-1.amazonaws.com/NCT+OF+Delhi/NORTH/1+-+NERELA_295/2025-EROLLGEN-U05-1-FinalRoll-Revision1-ENG-106-WI.pdf</t>
  </si>
  <si>
    <t>https://cookiepdf-v2-assests.s3.ap-south-1.amazonaws.com/NCT+OF+Delhi/NORTH/1+-+NERELA_295/2025-EROLLGEN-U05-1-FinalRoll-Revision1-ENG-107-WI.pdf</t>
  </si>
  <si>
    <t>https://cookiepdf-v2-assests.s3.ap-south-1.amazonaws.com/NCT+OF+Delhi/NORTH/1+-+NERELA_295/2025-EROLLGEN-U05-1-FinalRoll-Revision1-ENG-108-WI.pdf</t>
  </si>
  <si>
    <t>https://cookiepdf-v2-assests.s3.ap-south-1.amazonaws.com/NCT+OF+Delhi/NORTH/1+-+NERELA_295/2025-EROLLGEN-U05-1-FinalRoll-Revision1-ENG-109-WI.pdf</t>
  </si>
  <si>
    <t>https://cookiepdf-v2-assests.s3.ap-south-1.amazonaws.com/NCT+OF+Delhi/NORTH/1+-+NERELA_295/2025-EROLLGEN-U05-1-FinalRoll-Revision1-ENG-110-WI.pdf</t>
  </si>
  <si>
    <t>https://cookiepdf-v2-assests.s3.ap-south-1.amazonaws.com/NCT+OF+Delhi/NORTH/1+-+NERELA_295/2025-EROLLGEN-U05-1-FinalRoll-Revision1-ENG-111-WI.pdf</t>
  </si>
  <si>
    <t>https://cookiepdf-v2-assests.s3.ap-south-1.amazonaws.com/NCT+OF+Delhi/NORTH/1+-+NERELA_295/2025-EROLLGEN-U05-1-FinalRoll-Revision1-ENG-112-WI.pdf</t>
  </si>
  <si>
    <t>https://cookiepdf-v2-assests.s3.ap-south-1.amazonaws.com/NCT+OF+Delhi/NORTH/1+-+NERELA_295/2025-EROLLGEN-U05-1-FinalRoll-Revision1-ENG-113-WI.pdf</t>
  </si>
  <si>
    <t>https://cookiepdf-v2-assests.s3.ap-south-1.amazonaws.com/NCT+OF+Delhi/NORTH/1+-+NERELA_295/2025-EROLLGEN-U05-1-FinalRoll-Revision1-ENG-114-WI.pdf</t>
  </si>
  <si>
    <t>https://cookiepdf-v2-assests.s3.ap-south-1.amazonaws.com/NCT+OF+Delhi/NORTH/1+-+NERELA_295/2025-EROLLGEN-U05-1-FinalRoll-Revision1-ENG-115-WI.pdf</t>
  </si>
  <si>
    <t>https://cookiepdf-v2-assests.s3.ap-south-1.amazonaws.com/NCT+OF+Delhi/NORTH/1+-+NERELA_295/2025-EROLLGEN-U05-1-FinalRoll-Revision1-ENG-116-WI.pdf</t>
  </si>
  <si>
    <t>https://cookiepdf-v2-assests.s3.ap-south-1.amazonaws.com/NCT+OF+Delhi/NORTH/1+-+NERELA_295/2025-EROLLGEN-U05-1-FinalRoll-Revision1-ENG-117-WI.pdf</t>
  </si>
  <si>
    <t>https://cookiepdf-v2-assests.s3.ap-south-1.amazonaws.com/NCT+OF+Delhi/NORTH/1+-+NERELA_295/2025-EROLLGEN-U05-1-FinalRoll-Revision1-ENG-118-WI.pdf</t>
  </si>
  <si>
    <t>https://cookiepdf-v2-assests.s3.ap-south-1.amazonaws.com/NCT+OF+Delhi/NORTH/1+-+NERELA_295/2025-EROLLGEN-U05-1-FinalRoll-Revision1-ENG-119-WI.pdf</t>
  </si>
  <si>
    <t>https://cookiepdf-v2-assests.s3.ap-south-1.amazonaws.com/NCT+OF+Delhi/NORTH/1+-+NERELA_295/2025-EROLLGEN-U05-1-FinalRoll-Revision1-ENG-120-WI.pdf</t>
  </si>
  <si>
    <t>https://cookiepdf-v2-assests.s3.ap-south-1.amazonaws.com/NCT+OF+Delhi/NORTH/1+-+NERELA_295/2025-EROLLGEN-U05-1-FinalRoll-Revision1-ENG-121-WI.pdf</t>
  </si>
  <si>
    <t>https://cookiepdf-v2-assests.s3.ap-south-1.amazonaws.com/NCT+OF+Delhi/NORTH/1+-+NERELA_295/2025-EROLLGEN-U05-1-FinalRoll-Revision1-ENG-122-WI.pdf</t>
  </si>
  <si>
    <t>https://cookiepdf-v2-assests.s3.ap-south-1.amazonaws.com/NCT+OF+Delhi/NORTH/1+-+NERELA_295/2025-EROLLGEN-U05-1-FinalRoll-Revision1-ENG-123-WI.pdf</t>
  </si>
  <si>
    <t>https://cookiepdf-v2-assests.s3.ap-south-1.amazonaws.com/NCT+OF+Delhi/NORTH/1+-+NERELA_295/2025-EROLLGEN-U05-1-FinalRoll-Revision1-ENG-124-WI.pdf</t>
  </si>
  <si>
    <t>https://cookiepdf-v2-assests.s3.ap-south-1.amazonaws.com/NCT+OF+Delhi/NORTH/1+-+NERELA_295/2025-EROLLGEN-U05-1-FinalRoll-Revision1-ENG-125-WI.pdf</t>
  </si>
  <si>
    <t>https://cookiepdf-v2-assests.s3.ap-south-1.amazonaws.com/NCT+OF+Delhi/NORTH/1+-+NERELA_295/2025-EROLLGEN-U05-1-FinalRoll-Revision1-ENG-126-WI.pdf</t>
  </si>
  <si>
    <t>https://cookiepdf-v2-assests.s3.ap-south-1.amazonaws.com/NCT+OF+Delhi/NORTH/1+-+NERELA_295/2025-EROLLGEN-U05-1-FinalRoll-Revision1-ENG-127-WI.pdf</t>
  </si>
  <si>
    <t>https://cookiepdf-v2-assests.s3.ap-south-1.amazonaws.com/NCT+OF+Delhi/NORTH/1+-+NERELA_295/2025-EROLLGEN-U05-1-FinalRoll-Revision1-ENG-128-WI.pdf</t>
  </si>
  <si>
    <t>https://cookiepdf-v2-assests.s3.ap-south-1.amazonaws.com/NCT+OF+Delhi/NORTH/1+-+NERELA_295/2025-EROLLGEN-U05-1-FinalRoll-Revision1-ENG-129-WI.pdf</t>
  </si>
  <si>
    <t>https://cookiepdf-v2-assests.s3.ap-south-1.amazonaws.com/NCT+OF+Delhi/NORTH/1+-+NERELA_295/2025-EROLLGEN-U05-1-FinalRoll-Revision1-ENG-130-WI.pdf</t>
  </si>
  <si>
    <t>https://cookiepdf-v2-assests.s3.ap-south-1.amazonaws.com/NCT+OF+Delhi/NORTH/1+-+NERELA_295/2025-EROLLGEN-U05-1-FinalRoll-Revision1-ENG-131-WI.pdf</t>
  </si>
  <si>
    <t>https://cookiepdf-v2-assests.s3.ap-south-1.amazonaws.com/NCT+OF+Delhi/NORTH/1+-+NERELA_295/2025-EROLLGEN-U05-1-FinalRoll-Revision1-ENG-132-WI.pdf</t>
  </si>
  <si>
    <t>https://cookiepdf-v2-assests.s3.ap-south-1.amazonaws.com/NCT+OF+Delhi/NORTH/1+-+NERELA_295/2025-EROLLGEN-U05-1-FinalRoll-Revision1-ENG-133-WI.pdf</t>
  </si>
  <si>
    <t>https://cookiepdf-v2-assests.s3.ap-south-1.amazonaws.com/NCT+OF+Delhi/NORTH/1+-+NERELA_295/2025-EROLLGEN-U05-1-FinalRoll-Revision1-ENG-134-WI.pdf</t>
  </si>
  <si>
    <t>https://cookiepdf-v2-assests.s3.ap-south-1.amazonaws.com/NCT+OF+Delhi/NORTH/1+-+NERELA_295/2025-EROLLGEN-U05-1-FinalRoll-Revision1-ENG-135-WI.pdf</t>
  </si>
  <si>
    <t>https://cookiepdf-v2-assests.s3.ap-south-1.amazonaws.com/NCT+OF+Delhi/NORTH/1+-+NERELA_295/2025-EROLLGEN-U05-1-FinalRoll-Revision1-ENG-136-WI.pdf</t>
  </si>
  <si>
    <t>https://cookiepdf-v2-assests.s3.ap-south-1.amazonaws.com/NCT+OF+Delhi/NORTH/1+-+NERELA_295/2025-EROLLGEN-U05-1-FinalRoll-Revision1-ENG-137-WI.pdf</t>
  </si>
  <si>
    <t>https://cookiepdf-v2-assests.s3.ap-south-1.amazonaws.com/NCT+OF+Delhi/NORTH/1+-+NERELA_295/2025-EROLLGEN-U05-1-FinalRoll-Revision1-ENG-138-WI.pdf</t>
  </si>
  <si>
    <t>https://cookiepdf-v2-assests.s3.ap-south-1.amazonaws.com/NCT+OF+Delhi/NORTH/1+-+NERELA_295/2025-EROLLGEN-U05-1-FinalRoll-Revision1-ENG-139-WI.pdf</t>
  </si>
  <si>
    <t>https://cookiepdf-v2-assests.s3.ap-south-1.amazonaws.com/NCT+OF+Delhi/NORTH/1+-+NERELA_295/2025-EROLLGEN-U05-1-FinalRoll-Revision1-ENG-140-WI.pdf</t>
  </si>
  <si>
    <t>https://cookiepdf-v2-assests.s3.ap-south-1.amazonaws.com/NCT+OF+Delhi/NORTH/1+-+NERELA_295/2025-EROLLGEN-U05-1-FinalRoll-Revision1-ENG-141-WI.pdf</t>
  </si>
  <si>
    <t>https://cookiepdf-v2-assests.s3.ap-south-1.amazonaws.com/NCT+OF+Delhi/NORTH/1+-+NERELA_295/2025-EROLLGEN-U05-1-FinalRoll-Revision1-ENG-142-WI.pdf</t>
  </si>
  <si>
    <t>https://cookiepdf-v2-assests.s3.ap-south-1.amazonaws.com/NCT+OF+Delhi/NORTH/1+-+NERELA_295/2025-EROLLGEN-U05-1-FinalRoll-Revision1-ENG-143-WI.pdf</t>
  </si>
  <si>
    <t>https://cookiepdf-v2-assests.s3.ap-south-1.amazonaws.com/NCT+OF+Delhi/NORTH/1+-+NERELA_295/2025-EROLLGEN-U05-1-FinalRoll-Revision1-ENG-144-WI.pdf</t>
  </si>
  <si>
    <t>https://cookiepdf-v2-assests.s3.ap-south-1.amazonaws.com/NCT+OF+Delhi/NORTH/1+-+NERELA_295/2025-EROLLGEN-U05-1-FinalRoll-Revision1-ENG-145-WI.pdf</t>
  </si>
  <si>
    <t>https://cookiepdf-v2-assests.s3.ap-south-1.amazonaws.com/NCT+OF+Delhi/NORTH/1+-+NERELA_295/2025-EROLLGEN-U05-1-FinalRoll-Revision1-ENG-146-WI.pdf</t>
  </si>
  <si>
    <t>https://cookiepdf-v2-assests.s3.ap-south-1.amazonaws.com/NCT+OF+Delhi/NORTH/1+-+NERELA_295/2025-EROLLGEN-U05-1-FinalRoll-Revision1-ENG-147-WI.pdf</t>
  </si>
  <si>
    <t>https://cookiepdf-v2-assests.s3.ap-south-1.amazonaws.com/NCT+OF+Delhi/NORTH/1+-+NERELA_295/2025-EROLLGEN-U05-1-FinalRoll-Revision1-ENG-148-WI.pdf</t>
  </si>
  <si>
    <t>https://cookiepdf-v2-assests.s3.ap-south-1.amazonaws.com/NCT+OF+Delhi/NORTH/1+-+NERELA_295/2025-EROLLGEN-U05-1-FinalRoll-Revision1-ENG-149-WI.pdf</t>
  </si>
  <si>
    <t>https://cookiepdf-v2-assests.s3.ap-south-1.amazonaws.com/NCT+OF+Delhi/NORTH/1+-+NERELA_295/2025-EROLLGEN-U05-1-FinalRoll-Revision1-ENG-150-WI.pdf</t>
  </si>
  <si>
    <t>https://cookiepdf-v2-assests.s3.ap-south-1.amazonaws.com/NCT+OF+Delhi/NORTH/1+-+NERELA_295/2025-EROLLGEN-U05-1-FinalRoll-Revision1-ENG-151-WI.pdf</t>
  </si>
  <si>
    <t>https://cookiepdf-v2-assests.s3.ap-south-1.amazonaws.com/NCT+OF+Delhi/NORTH/1+-+NERELA_295/2025-EROLLGEN-U05-1-FinalRoll-Revision1-ENG-152-WI.pdf</t>
  </si>
  <si>
    <t>https://cookiepdf-v2-assests.s3.ap-south-1.amazonaws.com/NCT+OF+Delhi/NORTH/1+-+NERELA_295/2025-EROLLGEN-U05-1-FinalRoll-Revision1-ENG-153-WI.pdf</t>
  </si>
  <si>
    <t>https://cookiepdf-v2-assests.s3.ap-south-1.amazonaws.com/NCT+OF+Delhi/NORTH/1+-+NERELA_295/2025-EROLLGEN-U05-1-FinalRoll-Revision1-ENG-154-WI.pdf</t>
  </si>
  <si>
    <t>https://cookiepdf-v2-assests.s3.ap-south-1.amazonaws.com/NCT+OF+Delhi/NORTH/1+-+NERELA_295/2025-EROLLGEN-U05-1-FinalRoll-Revision1-ENG-155-WI.pdf</t>
  </si>
  <si>
    <t>https://cookiepdf-v2-assests.s3.ap-south-1.amazonaws.com/NCT+OF+Delhi/NORTH/1+-+NERELA_295/2025-EROLLGEN-U05-1-FinalRoll-Revision1-ENG-156-WI.pdf</t>
  </si>
  <si>
    <t>https://cookiepdf-v2-assests.s3.ap-south-1.amazonaws.com/NCT+OF+Delhi/NORTH/1+-+NERELA_295/2025-EROLLGEN-U05-1-FinalRoll-Revision1-ENG-157-WI.pdf</t>
  </si>
  <si>
    <t>https://cookiepdf-v2-assests.s3.ap-south-1.amazonaws.com/NCT+OF+Delhi/NORTH/1+-+NERELA_295/2025-EROLLGEN-U05-1-FinalRoll-Revision1-ENG-158-WI.pdf</t>
  </si>
  <si>
    <t>https://cookiepdf-v2-assests.s3.ap-south-1.amazonaws.com/NCT+OF+Delhi/NORTH/1+-+NERELA_295/2025-EROLLGEN-U05-1-FinalRoll-Revision1-ENG-159-WI.pdf</t>
  </si>
  <si>
    <t>https://cookiepdf-v2-assests.s3.ap-south-1.amazonaws.com/NCT+OF+Delhi/NORTH/1+-+NERELA_295/2025-EROLLGEN-U05-1-FinalRoll-Revision1-ENG-160-WI.pdf</t>
  </si>
  <si>
    <t>https://cookiepdf-v2-assests.s3.ap-south-1.amazonaws.com/NCT+OF+Delhi/NORTH/1+-+NERELA_295/2025-EROLLGEN-U05-1-FinalRoll-Revision1-ENG-161-WI.pdf</t>
  </si>
  <si>
    <t>https://cookiepdf-v2-assests.s3.ap-south-1.amazonaws.com/NCT+OF+Delhi/NORTH/1+-+NERELA_295/2025-EROLLGEN-U05-1-FinalRoll-Revision1-ENG-162-WI.pdf</t>
  </si>
  <si>
    <t>https://cookiepdf-v2-assests.s3.ap-south-1.amazonaws.com/NCT+OF+Delhi/NORTH/1+-+NERELA_295/2025-EROLLGEN-U05-1-FinalRoll-Revision1-ENG-163-WI.pdf</t>
  </si>
  <si>
    <t>https://cookiepdf-v2-assests.s3.ap-south-1.amazonaws.com/NCT+OF+Delhi/NORTH/1+-+NERELA_295/2025-EROLLGEN-U05-1-FinalRoll-Revision1-ENG-164-WI.pdf</t>
  </si>
  <si>
    <t>https://cookiepdf-v2-assests.s3.ap-south-1.amazonaws.com/NCT+OF+Delhi/NORTH/1+-+NERELA_295/2025-EROLLGEN-U05-1-FinalRoll-Revision1-ENG-165-WI.pdf</t>
  </si>
  <si>
    <t>https://cookiepdf-v2-assests.s3.ap-south-1.amazonaws.com/NCT+OF+Delhi/NORTH/1+-+NERELA_295/2025-EROLLGEN-U05-1-FinalRoll-Revision1-ENG-166-WI.pdf</t>
  </si>
  <si>
    <t>https://cookiepdf-v2-assests.s3.ap-south-1.amazonaws.com/NCT+OF+Delhi/NORTH/1+-+NERELA_295/2025-EROLLGEN-U05-1-FinalRoll-Revision1-ENG-167-WI.pdf</t>
  </si>
  <si>
    <t>https://cookiepdf-v2-assests.s3.ap-south-1.amazonaws.com/NCT+OF+Delhi/NORTH/1+-+NERELA_295/2025-EROLLGEN-U05-1-FinalRoll-Revision1-ENG-168-WI.pdf</t>
  </si>
  <si>
    <t>https://cookiepdf-v2-assests.s3.ap-south-1.amazonaws.com/NCT+OF+Delhi/NORTH/1+-+NERELA_295/2025-EROLLGEN-U05-1-FinalRoll-Revision1-ENG-169-WI.pdf</t>
  </si>
  <si>
    <t>https://cookiepdf-v2-assests.s3.ap-south-1.amazonaws.com/NCT+OF+Delhi/NORTH/1+-+NERELA_295/2025-EROLLGEN-U05-1-FinalRoll-Revision1-ENG-170-WI.pdf</t>
  </si>
  <si>
    <t>https://cookiepdf-v2-assests.s3.ap-south-1.amazonaws.com/NCT+OF+Delhi/NORTH/1+-+NERELA_295/2025-EROLLGEN-U05-1-FinalRoll-Revision1-ENG-171-WI.pdf</t>
  </si>
  <si>
    <t>https://cookiepdf-v2-assests.s3.ap-south-1.amazonaws.com/NCT+OF+Delhi/NORTH/1+-+NERELA_295/2025-EROLLGEN-U05-1-FinalRoll-Revision1-ENG-172-WI.pdf</t>
  </si>
  <si>
    <t>https://cookiepdf-v2-assests.s3.ap-south-1.amazonaws.com/NCT+OF+Delhi/NORTH/1+-+NERELA_295/2025-EROLLGEN-U05-1-FinalRoll-Revision1-ENG-173-WI.pdf</t>
  </si>
  <si>
    <t>https://cookiepdf-v2-assests.s3.ap-south-1.amazonaws.com/NCT+OF+Delhi/NORTH/1+-+NERELA_295/2025-EROLLGEN-U05-1-FinalRoll-Revision1-ENG-174-WI.pdf</t>
  </si>
  <si>
    <t>https://cookiepdf-v2-assests.s3.ap-south-1.amazonaws.com/NCT+OF+Delhi/NORTH/1+-+NERELA_295/2025-EROLLGEN-U05-1-FinalRoll-Revision1-ENG-175-WI.pdf</t>
  </si>
  <si>
    <t>https://cookiepdf-v2-assests.s3.ap-south-1.amazonaws.com/NCT+OF+Delhi/NORTH/1+-+NERELA_295/2025-EROLLGEN-U05-1-FinalRoll-Revision1-ENG-176-WI.pdf</t>
  </si>
  <si>
    <t>https://cookiepdf-v2-assests.s3.ap-south-1.amazonaws.com/NCT+OF+Delhi/NORTH/1+-+NERELA_295/2025-EROLLGEN-U05-1-FinalRoll-Revision1-ENG-177-WI.pdf</t>
  </si>
  <si>
    <t>https://cookiepdf-v2-assests.s3.ap-south-1.amazonaws.com/NCT+OF+Delhi/NORTH/1+-+NERELA_295/2025-EROLLGEN-U05-1-FinalRoll-Revision1-ENG-178-WI.pdf</t>
  </si>
  <si>
    <t>https://cookiepdf-v2-assests.s3.ap-south-1.amazonaws.com/NCT+OF+Delhi/NORTH/1+-+NERELA_295/2025-EROLLGEN-U05-1-FinalRoll-Revision1-ENG-179-WI.pdf</t>
  </si>
  <si>
    <t>https://cookiepdf-v2-assests.s3.ap-south-1.amazonaws.com/NCT+OF+Delhi/NORTH/1+-+NERELA_295/2025-EROLLGEN-U05-1-FinalRoll-Revision1-ENG-180-WI.pdf</t>
  </si>
  <si>
    <t>https://cookiepdf-v2-assests.s3.ap-south-1.amazonaws.com/NCT+OF+Delhi/NORTH/1+-+NERELA_295/2025-EROLLGEN-U05-1-FinalRoll-Revision1-ENG-181-WI.pdf</t>
  </si>
  <si>
    <t>https://cookiepdf-v2-assests.s3.ap-south-1.amazonaws.com/NCT+OF+Delhi/NORTH/1+-+NERELA_295/2025-EROLLGEN-U05-1-FinalRoll-Revision1-ENG-182-WI.pdf</t>
  </si>
  <si>
    <t>https://cookiepdf-v2-assests.s3.ap-south-1.amazonaws.com/NCT+OF+Delhi/NORTH/1+-+NERELA_295/2025-EROLLGEN-U05-1-FinalRoll-Revision1-ENG-183-WI.pdf</t>
  </si>
  <si>
    <t>https://cookiepdf-v2-assests.s3.ap-south-1.amazonaws.com/NCT+OF+Delhi/NORTH/1+-+NERELA_295/2025-EROLLGEN-U05-1-FinalRoll-Revision1-ENG-184-WI.pdf</t>
  </si>
  <si>
    <t>https://cookiepdf-v2-assests.s3.ap-south-1.amazonaws.com/NCT+OF+Delhi/NORTH/1+-+NERELA_295/2025-EROLLGEN-U05-1-FinalRoll-Revision1-ENG-185-WI.pdf</t>
  </si>
  <si>
    <t>https://cookiepdf-v2-assests.s3.ap-south-1.amazonaws.com/NCT+OF+Delhi/NORTH/1+-+NERELA_295/2025-EROLLGEN-U05-1-FinalRoll-Revision1-ENG-186-WI.pdf</t>
  </si>
  <si>
    <t>https://cookiepdf-v2-assests.s3.ap-south-1.amazonaws.com/NCT+OF+Delhi/NORTH/1+-+NERELA_295/2025-EROLLGEN-U05-1-FinalRoll-Revision1-ENG-187-WI.pdf</t>
  </si>
  <si>
    <t>https://cookiepdf-v2-assests.s3.ap-south-1.amazonaws.com/NCT+OF+Delhi/NORTH/1+-+NERELA_295/2025-EROLLGEN-U05-1-FinalRoll-Revision1-ENG-188-WI.pdf</t>
  </si>
  <si>
    <t>https://cookiepdf-v2-assests.s3.ap-south-1.amazonaws.com/NCT+OF+Delhi/NORTH/1+-+NERELA_295/2025-EROLLGEN-U05-1-FinalRoll-Revision1-ENG-189-WI.pdf</t>
  </si>
  <si>
    <t>https://cookiepdf-v2-assests.s3.ap-south-1.amazonaws.com/NCT+OF+Delhi/NORTH/1+-+NERELA_295/2025-EROLLGEN-U05-1-FinalRoll-Revision1-ENG-190-WI.pdf</t>
  </si>
  <si>
    <t>https://cookiepdf-v2-assests.s3.ap-south-1.amazonaws.com/NCT+OF+Delhi/NORTH/1+-+NERELA_295/2025-EROLLGEN-U05-1-FinalRoll-Revision1-ENG-191-WI.pdf</t>
  </si>
  <si>
    <t>https://cookiepdf-v2-assests.s3.ap-south-1.amazonaws.com/NCT+OF+Delhi/NORTH/1+-+NERELA_295/2025-EROLLGEN-U05-1-FinalRoll-Revision1-ENG-192-WI.pdf</t>
  </si>
  <si>
    <t>https://cookiepdf-v2-assests.s3.ap-south-1.amazonaws.com/NCT+OF+Delhi/NORTH/1+-+NERELA_295/2025-EROLLGEN-U05-1-FinalRoll-Revision1-ENG-193-WI.pdf</t>
  </si>
  <si>
    <t>https://cookiepdf-v2-assests.s3.ap-south-1.amazonaws.com/NCT+OF+Delhi/NORTH/1+-+NERELA_295/2025-EROLLGEN-U05-1-FinalRoll-Revision1-ENG-194-WI.pdf</t>
  </si>
  <si>
    <t>https://cookiepdf-v2-assests.s3.ap-south-1.amazonaws.com/NCT+OF+Delhi/NORTH/1+-+NERELA_295/2025-EROLLGEN-U05-1-FinalRoll-Revision1-ENG-195-WI.pdf</t>
  </si>
  <si>
    <t>https://cookiepdf-v2-assests.s3.ap-south-1.amazonaws.com/NCT+OF+Delhi/NORTH/1+-+NERELA_295/2025-EROLLGEN-U05-1-FinalRoll-Revision1-ENG-196-WI.pdf</t>
  </si>
  <si>
    <t>https://cookiepdf-v2-assests.s3.ap-south-1.amazonaws.com/NCT+OF+Delhi/NORTH/1+-+NERELA_295/2025-EROLLGEN-U05-1-FinalRoll-Revision1-ENG-197-WI.pdf</t>
  </si>
  <si>
    <t>https://cookiepdf-v2-assests.s3.ap-south-1.amazonaws.com/NCT+OF+Delhi/NORTH/1+-+NERELA_295/2025-EROLLGEN-U05-1-FinalRoll-Revision1-ENG-198-WI.pdf</t>
  </si>
  <si>
    <t>https://cookiepdf-v2-assests.s3.ap-south-1.amazonaws.com/NCT+OF+Delhi/NORTH/1+-+NERELA_295/2025-EROLLGEN-U05-1-FinalRoll-Revision1-ENG-199-WI.pdf</t>
  </si>
  <si>
    <t>https://cookiepdf-v2-assests.s3.ap-south-1.amazonaws.com/NCT+OF+Delhi/NORTH/1+-+NERELA_295/2025-EROLLGEN-U05-1-FinalRoll-Revision1-ENG-200-WI.pdf</t>
  </si>
  <si>
    <t>https://cookiepdf-v2-assests.s3.ap-south-1.amazonaws.com/NCT+OF+Delhi/NORTH/1+-+NERELA_295/2025-EROLLGEN-U05-1-FinalRoll-Revision1-ENG-201-WI.pdf</t>
  </si>
  <si>
    <t>https://cookiepdf-v2-assests.s3.ap-south-1.amazonaws.com/NCT+OF+Delhi/NORTH/1+-+NERELA_295/2025-EROLLGEN-U05-1-FinalRoll-Revision1-ENG-202-WI.pdf</t>
  </si>
  <si>
    <t>https://cookiepdf-v2-assests.s3.ap-south-1.amazonaws.com/NCT+OF+Delhi/NORTH/1+-+NERELA_295/2025-EROLLGEN-U05-1-FinalRoll-Revision1-ENG-203-WI.pdf</t>
  </si>
  <si>
    <t>https://cookiepdf-v2-assests.s3.ap-south-1.amazonaws.com/NCT+OF+Delhi/NORTH/1+-+NERELA_295/2025-EROLLGEN-U05-1-FinalRoll-Revision1-ENG-204-WI.pdf</t>
  </si>
  <si>
    <t>https://cookiepdf-v2-assests.s3.ap-south-1.amazonaws.com/NCT+OF+Delhi/NORTH/1+-+NERELA_295/2025-EROLLGEN-U05-1-FinalRoll-Revision1-ENG-205-WI.pdf</t>
  </si>
  <si>
    <t>https://cookiepdf-v2-assests.s3.ap-south-1.amazonaws.com/NCT+OF+Delhi/NORTH/1+-+NERELA_295/2025-EROLLGEN-U05-1-FinalRoll-Revision1-ENG-206-WI.pdf</t>
  </si>
  <si>
    <t>https://cookiepdf-v2-assests.s3.ap-south-1.amazonaws.com/NCT+OF+Delhi/NORTH/1+-+NERELA_295/2025-EROLLGEN-U05-1-FinalRoll-Revision1-ENG-207-WI.pdf</t>
  </si>
  <si>
    <t>https://cookiepdf-v2-assests.s3.ap-south-1.amazonaws.com/NCT+OF+Delhi/NORTH/1+-+NERELA_295/2025-EROLLGEN-U05-1-FinalRoll-Revision1-ENG-208-WI.pdf</t>
  </si>
  <si>
    <t>https://cookiepdf-v2-assests.s3.ap-south-1.amazonaws.com/NCT+OF+Delhi/NORTH/1+-+NERELA_295/2025-EROLLGEN-U05-1-FinalRoll-Revision1-ENG-209-WI.pdf</t>
  </si>
  <si>
    <t>https://cookiepdf-v2-assests.s3.ap-south-1.amazonaws.com/NCT+OF+Delhi/NORTH/1+-+NERELA_295/2025-EROLLGEN-U05-1-FinalRoll-Revision1-ENG-210-WI.pdf</t>
  </si>
  <si>
    <t>https://cookiepdf-v2-assests.s3.ap-south-1.amazonaws.com/NCT+OF+Delhi/NORTH/1+-+NERELA_295/2025-EROLLGEN-U05-1-FinalRoll-Revision1-ENG-211-WI.pdf</t>
  </si>
  <si>
    <t>https://cookiepdf-v2-assests.s3.ap-south-1.amazonaws.com/NCT+OF+Delhi/NORTH/1+-+NERELA_295/2025-EROLLGEN-U05-1-FinalRoll-Revision1-ENG-212-WI.pdf</t>
  </si>
  <si>
    <t>https://cookiepdf-v2-assests.s3.ap-south-1.amazonaws.com/NCT+OF+Delhi/NORTH/1+-+NERELA_295/2025-EROLLGEN-U05-1-FinalRoll-Revision1-ENG-213-WI.pdf</t>
  </si>
  <si>
    <t>https://cookiepdf-v2-assests.s3.ap-south-1.amazonaws.com/NCT+OF+Delhi/NORTH/1+-+NERELA_295/2025-EROLLGEN-U05-1-FinalRoll-Revision1-ENG-214-WI.pdf</t>
  </si>
  <si>
    <t>https://cookiepdf-v2-assests.s3.ap-south-1.amazonaws.com/NCT+OF+Delhi/NORTH/1+-+NERELA_295/2025-EROLLGEN-U05-1-FinalRoll-Revision1-ENG-215-WI.pdf</t>
  </si>
  <si>
    <t>https://cookiepdf-v2-assests.s3.ap-south-1.amazonaws.com/NCT+OF+Delhi/NORTH/1+-+NERELA_295/2025-EROLLGEN-U05-1-FinalRoll-Revision1-ENG-216-WI.pdf</t>
  </si>
  <si>
    <t>https://cookiepdf-v2-assests.s3.ap-south-1.amazonaws.com/NCT+OF+Delhi/NORTH/1+-+NERELA_295/2025-EROLLGEN-U05-1-FinalRoll-Revision1-ENG-217-WI.pdf</t>
  </si>
  <si>
    <t>https://cookiepdf-v2-assests.s3.ap-south-1.amazonaws.com/NCT+OF+Delhi/NORTH/1+-+NERELA_295/2025-EROLLGEN-U05-1-FinalRoll-Revision1-ENG-218-WI.pdf</t>
  </si>
  <si>
    <t>https://cookiepdf-v2-assests.s3.ap-south-1.amazonaws.com/NCT+OF+Delhi/NORTH/1+-+NERELA_295/2025-EROLLGEN-U05-1-FinalRoll-Revision1-ENG-219-WI.pdf</t>
  </si>
  <si>
    <t>https://cookiepdf-v2-assests.s3.ap-south-1.amazonaws.com/NCT+OF+Delhi/NORTH/1+-+NERELA_295/2025-EROLLGEN-U05-1-FinalRoll-Revision1-ENG-220-WI.pdf</t>
  </si>
  <si>
    <t>https://cookiepdf-v2-assests.s3.ap-south-1.amazonaws.com/NCT+OF+Delhi/NORTH/1+-+NERELA_295/2025-EROLLGEN-U05-1-FinalRoll-Revision1-ENG-221-WI.pdf</t>
  </si>
  <si>
    <t>https://cookiepdf-v2-assests.s3.ap-south-1.amazonaws.com/NCT+OF+Delhi/NORTH/1+-+NERELA_295/2025-EROLLGEN-U05-1-FinalRoll-Revision1-ENG-222-WI.pdf</t>
  </si>
  <si>
    <t>https://cookiepdf-v2-assests.s3.ap-south-1.amazonaws.com/NCT+OF+Delhi/NORTH/1+-+NERELA_295/2025-EROLLGEN-U05-1-FinalRoll-Revision1-ENG-223-WI.pdf</t>
  </si>
  <si>
    <t>https://cookiepdf-v2-assests.s3.ap-south-1.amazonaws.com/NCT+OF+Delhi/NORTH/1+-+NERELA_295/2025-EROLLGEN-U05-1-FinalRoll-Revision1-ENG-224-WI.pdf</t>
  </si>
  <si>
    <t>https://cookiepdf-v2-assests.s3.ap-south-1.amazonaws.com/NCT+OF+Delhi/NORTH/1+-+NERELA_295/2025-EROLLGEN-U05-1-FinalRoll-Revision1-ENG-225-WI.pdf</t>
  </si>
  <si>
    <t>https://cookiepdf-v2-assests.s3.ap-south-1.amazonaws.com/NCT+OF+Delhi/NORTH/1+-+NERELA_295/2025-EROLLGEN-U05-1-FinalRoll-Revision1-ENG-226-WI.pdf</t>
  </si>
  <si>
    <t>https://cookiepdf-v2-assests.s3.ap-south-1.amazonaws.com/NCT+OF+Delhi/NORTH/1+-+NERELA_295/2025-EROLLGEN-U05-1-FinalRoll-Revision1-ENG-227-WI.pdf</t>
  </si>
  <si>
    <t>https://cookiepdf-v2-assests.s3.ap-south-1.amazonaws.com/NCT+OF+Delhi/NORTH/1+-+NERELA_295/2025-EROLLGEN-U05-1-FinalRoll-Revision1-ENG-228-WI.pdf</t>
  </si>
  <si>
    <t>https://cookiepdf-v2-assests.s3.ap-south-1.amazonaws.com/NCT+OF+Delhi/NORTH/1+-+NERELA_295/2025-EROLLGEN-U05-1-FinalRoll-Revision1-ENG-229-WI.pdf</t>
  </si>
  <si>
    <t>https://cookiepdf-v2-assests.s3.ap-south-1.amazonaws.com/NCT+OF+Delhi/NORTH/1+-+NERELA_295/2025-EROLLGEN-U05-1-FinalRoll-Revision1-ENG-230-WI.pdf</t>
  </si>
  <si>
    <t>https://cookiepdf-v2-assests.s3.ap-south-1.amazonaws.com/NCT+OF+Delhi/NORTH/1+-+NERELA_295/2025-EROLLGEN-U05-1-FinalRoll-Revision1-ENG-231-WI.pdf</t>
  </si>
  <si>
    <t>https://cookiepdf-v2-assests.s3.ap-south-1.amazonaws.com/NCT+OF+Delhi/NORTH/1+-+NERELA_295/2025-EROLLGEN-U05-1-FinalRoll-Revision1-ENG-232-WI.pdf</t>
  </si>
  <si>
    <t>https://cookiepdf-v2-assests.s3.ap-south-1.amazonaws.com/NCT+OF+Delhi/NORTH/1+-+NERELA_295/2025-EROLLGEN-U05-1-FinalRoll-Revision1-ENG-233-WI.pdf</t>
  </si>
  <si>
    <t>https://cookiepdf-v2-assests.s3.ap-south-1.amazonaws.com/NCT+OF+Delhi/NORTH/1+-+NERELA_295/2025-EROLLGEN-U05-1-FinalRoll-Revision1-ENG-234-WI.pdf</t>
  </si>
  <si>
    <t>https://cookiepdf-v2-assests.s3.ap-south-1.amazonaws.com/NCT+OF+Delhi/NORTH/1+-+NERELA_295/2025-EROLLGEN-U05-1-FinalRoll-Revision1-ENG-235-WI.pdf</t>
  </si>
  <si>
    <t>https://cookiepdf-v2-assests.s3.ap-south-1.amazonaws.com/NCT+OF+Delhi/NORTH/1+-+NERELA_295/2025-EROLLGEN-U05-1-FinalRoll-Revision1-ENG-236-WI.pdf</t>
  </si>
  <si>
    <t>https://cookiepdf-v2-assests.s3.ap-south-1.amazonaws.com/NCT+OF+Delhi/NORTH/1+-+NERELA_295/2025-EROLLGEN-U05-1-FinalRoll-Revision1-ENG-237-WI.pdf</t>
  </si>
  <si>
    <t>https://cookiepdf-v2-assests.s3.ap-south-1.amazonaws.com/NCT+OF+Delhi/NORTH/1+-+NERELA_295/2025-EROLLGEN-U05-1-FinalRoll-Revision1-ENG-238-WI.pdf</t>
  </si>
  <si>
    <t>https://cookiepdf-v2-assests.s3.ap-south-1.amazonaws.com/NCT+OF+Delhi/NORTH/1+-+NERELA_295/2025-EROLLGEN-U05-1-FinalRoll-Revision1-ENG-239-WI.pdf</t>
  </si>
  <si>
    <t>https://cookiepdf-v2-assests.s3.ap-south-1.amazonaws.com/NCT+OF+Delhi/NORTH/1+-+NERELA_295/2025-EROLLGEN-U05-1-FinalRoll-Revision1-ENG-240-WI.pdf</t>
  </si>
  <si>
    <t>https://cookiepdf-v2-assests.s3.ap-south-1.amazonaws.com/NCT+OF+Delhi/NORTH/1+-+NERELA_295/2025-EROLLGEN-U05-1-FinalRoll-Revision1-ENG-241-WI.pdf</t>
  </si>
  <si>
    <t>https://cookiepdf-v2-assests.s3.ap-south-1.amazonaws.com/NCT+OF+Delhi/NORTH/1+-+NERELA_295/2025-EROLLGEN-U05-1-FinalRoll-Revision1-ENG-242-WI.pdf</t>
  </si>
  <si>
    <t>https://cookiepdf-v2-assests.s3.ap-south-1.amazonaws.com/NCT+OF+Delhi/NORTH/1+-+NERELA_295/2025-EROLLGEN-U05-1-FinalRoll-Revision1-ENG-243-WI.pdf</t>
  </si>
  <si>
    <t>https://cookiepdf-v2-assests.s3.ap-south-1.amazonaws.com/NCT+OF+Delhi/NORTH/1+-+NERELA_295/2025-EROLLGEN-U05-1-FinalRoll-Revision1-ENG-244-WI.pdf</t>
  </si>
  <si>
    <t>https://cookiepdf-v2-assests.s3.ap-south-1.amazonaws.com/NCT+OF+Delhi/NORTH/1+-+NERELA_295/2025-EROLLGEN-U05-1-FinalRoll-Revision1-ENG-245-WI.pdf</t>
  </si>
  <si>
    <t>https://cookiepdf-v2-assests.s3.ap-south-1.amazonaws.com/NCT+OF+Delhi/NORTH/1+-+NERELA_295/2025-EROLLGEN-U05-1-FinalRoll-Revision1-ENG-246-WI.pdf</t>
  </si>
  <si>
    <t>https://cookiepdf-v2-assests.s3.ap-south-1.amazonaws.com/NCT+OF+Delhi/NORTH/1+-+NERELA_295/2025-EROLLGEN-U05-1-FinalRoll-Revision1-ENG-247-WI.pdf</t>
  </si>
  <si>
    <t>https://cookiepdf-v2-assests.s3.ap-south-1.amazonaws.com/NCT+OF+Delhi/NORTH/1+-+NERELA_295/2025-EROLLGEN-U05-1-FinalRoll-Revision1-ENG-248-WI.pdf</t>
  </si>
  <si>
    <t>https://cookiepdf-v2-assests.s3.ap-south-1.amazonaws.com/NCT+OF+Delhi/NORTH/1+-+NERELA_295/2025-EROLLGEN-U05-1-FinalRoll-Revision1-ENG-249-WI.pdf</t>
  </si>
  <si>
    <t>https://cookiepdf-v2-assests.s3.ap-south-1.amazonaws.com/NCT+OF+Delhi/NORTH/1+-+NERELA_295/2025-EROLLGEN-U05-1-FinalRoll-Revision1-ENG-250-WI.pdf</t>
  </si>
  <si>
    <t>https://cookiepdf-v2-assests.s3.ap-south-1.amazonaws.com/NCT+OF+Delhi/NORTH/1+-+NERELA_295/2025-EROLLGEN-U05-1-FinalRoll-Revision1-ENG-251-WI.pdf</t>
  </si>
  <si>
    <t>https://cookiepdf-v2-assests.s3.ap-south-1.amazonaws.com/NCT+OF+Delhi/NORTH/1+-+NERELA_295/2025-EROLLGEN-U05-1-FinalRoll-Revision1-ENG-252-WI.pdf</t>
  </si>
  <si>
    <t>https://cookiepdf-v2-assests.s3.ap-south-1.amazonaws.com/NCT+OF+Delhi/NORTH/1+-+NERELA_295/2025-EROLLGEN-U05-1-FinalRoll-Revision1-ENG-253-WI.pdf</t>
  </si>
  <si>
    <t>https://cookiepdf-v2-assests.s3.ap-south-1.amazonaws.com/NCT+OF+Delhi/NORTH/1+-+NERELA_295/2025-EROLLGEN-U05-1-FinalRoll-Revision1-ENG-254-WI.pdf</t>
  </si>
  <si>
    <t>https://cookiepdf-v2-assests.s3.ap-south-1.amazonaws.com/NCT+OF+Delhi/NORTH/1+-+NERELA_295/2025-EROLLGEN-U05-1-FinalRoll-Revision1-ENG-255-WI.pdf</t>
  </si>
  <si>
    <t>https://cookiepdf-v2-assests.s3.ap-south-1.amazonaws.com/NCT+OF+Delhi/NORTH/1+-+NERELA_295/2025-EROLLGEN-U05-1-FinalRoll-Revision1-ENG-256-WI.pdf</t>
  </si>
  <si>
    <t>https://cookiepdf-v2-assests.s3.ap-south-1.amazonaws.com/NCT+OF+Delhi/NORTH/1+-+NERELA_295/2025-EROLLGEN-U05-1-FinalRoll-Revision1-ENG-257-WI.pdf</t>
  </si>
  <si>
    <t>https://cookiepdf-v2-assests.s3.ap-south-1.amazonaws.com/NCT+OF+Delhi/NORTH/1+-+NERELA_295/2025-EROLLGEN-U05-1-FinalRoll-Revision1-ENG-258-WI.pdf</t>
  </si>
  <si>
    <t>https://cookiepdf-v2-assests.s3.ap-south-1.amazonaws.com/NCT+OF+Delhi/NORTH/1+-+NERELA_295/2025-EROLLGEN-U05-1-FinalRoll-Revision1-ENG-259-WI.pdf</t>
  </si>
  <si>
    <t>https://cookiepdf-v2-assests.s3.ap-south-1.amazonaws.com/NCT+OF+Delhi/NORTH/1+-+NERELA_295/2025-EROLLGEN-U05-1-FinalRoll-Revision1-ENG-260-WI.pdf</t>
  </si>
  <si>
    <t>https://cookiepdf-v2-assests.s3.ap-south-1.amazonaws.com/NCT+OF+Delhi/NORTH/1+-+NERELA_295/2025-EROLLGEN-U05-1-FinalRoll-Revision1-ENG-261-WI.pdf</t>
  </si>
  <si>
    <t>https://cookiepdf-v2-assests.s3.ap-south-1.amazonaws.com/NCT+OF+Delhi/NORTH/1+-+NERELA_295/2025-EROLLGEN-U05-1-FinalRoll-Revision1-ENG-262-WI.pdf</t>
  </si>
  <si>
    <t>https://cookiepdf-v2-assests.s3.ap-south-1.amazonaws.com/NCT+OF+Delhi/NORTH/1+-+NERELA_295/2025-EROLLGEN-U05-1-FinalRoll-Revision1-ENG-263-WI.pdf</t>
  </si>
  <si>
    <t>https://cookiepdf-v2-assests.s3.ap-south-1.amazonaws.com/NCT+OF+Delhi/NORTH/1+-+NERELA_295/2025-EROLLGEN-U05-1-FinalRoll-Revision1-ENG-264-WI.pdf</t>
  </si>
  <si>
    <t>https://cookiepdf-v2-assests.s3.ap-south-1.amazonaws.com/NCT+OF+Delhi/NORTH/1+-+NERELA_295/2025-EROLLGEN-U05-1-FinalRoll-Revision1-ENG-265-WI.pdf</t>
  </si>
  <si>
    <t>https://cookiepdf-v2-assests.s3.ap-south-1.amazonaws.com/NCT+OF+Delhi/NORTH/1+-+NERELA_295/2025-EROLLGEN-U05-1-FinalRoll-Revision1-ENG-266-WI.pdf</t>
  </si>
  <si>
    <t>https://cookiepdf-v2-assests.s3.ap-south-1.amazonaws.com/NCT+OF+Delhi/NORTH/1+-+NERELA_295/2025-EROLLGEN-U05-1-FinalRoll-Revision1-ENG-267-WI.pdf</t>
  </si>
  <si>
    <t>https://cookiepdf-v2-assests.s3.ap-south-1.amazonaws.com/NCT+OF+Delhi/NORTH/1+-+NERELA_295/2025-EROLLGEN-U05-1-FinalRoll-Revision1-ENG-268-WI.pdf</t>
  </si>
  <si>
    <t>https://cookiepdf-v2-assests.s3.ap-south-1.amazonaws.com/NCT+OF+Delhi/NORTH/1+-+NERELA_295/2025-EROLLGEN-U05-1-FinalRoll-Revision1-ENG-269-WI.pdf</t>
  </si>
  <si>
    <t>https://cookiepdf-v2-assests.s3.ap-south-1.amazonaws.com/NCT+OF+Delhi/NORTH/1+-+NERELA_295/2025-EROLLGEN-U05-1-FinalRoll-Revision1-ENG-270-WI.pdf</t>
  </si>
  <si>
    <t>https://cookiepdf-v2-assests.s3.ap-south-1.amazonaws.com/NCT+OF+Delhi/NORTH/1+-+NERELA_295/2025-EROLLGEN-U05-1-FinalRoll-Revision1-ENG-271-WI.pdf</t>
  </si>
  <si>
    <t>https://cookiepdf-v2-assests.s3.ap-south-1.amazonaws.com/NCT+OF+Delhi/NORTH/1+-+NERELA_295/2025-EROLLGEN-U05-1-FinalRoll-Revision1-ENG-272-WI.pdf</t>
  </si>
  <si>
    <t>https://cookiepdf-v2-assests.s3.ap-south-1.amazonaws.com/NCT+OF+Delhi/NORTH/1+-+NERELA_295/2025-EROLLGEN-U05-1-FinalRoll-Revision1-ENG-273-WI.pdf</t>
  </si>
  <si>
    <t>https://cookiepdf-v2-assests.s3.ap-south-1.amazonaws.com/NCT+OF+Delhi/NORTH/1+-+NERELA_295/2025-EROLLGEN-U05-1-FinalRoll-Revision1-ENG-274-WI.pdf</t>
  </si>
  <si>
    <t>https://cookiepdf-v2-assests.s3.ap-south-1.amazonaws.com/NCT+OF+Delhi/NORTH/1+-+NERELA_295/2025-EROLLGEN-U05-1-FinalRoll-Revision1-ENG-275-WI.pdf</t>
  </si>
  <si>
    <t>https://cookiepdf-v2-assests.s3.ap-south-1.amazonaws.com/NCT+OF+Delhi/NORTH/1+-+NERELA_295/2025-EROLLGEN-U05-1-FinalRoll-Revision1-ENG-276-WI.pdf</t>
  </si>
  <si>
    <t>https://cookiepdf-v2-assests.s3.ap-south-1.amazonaws.com/NCT+OF+Delhi/NORTH/1+-+NERELA_295/2025-EROLLGEN-U05-1-FinalRoll-Revision1-ENG-277-WI.pdf</t>
  </si>
  <si>
    <t>https://cookiepdf-v2-assests.s3.ap-south-1.amazonaws.com/NCT+OF+Delhi/NORTH/1+-+NERELA_295/2025-EROLLGEN-U05-1-FinalRoll-Revision1-ENG-278-WI.pdf</t>
  </si>
  <si>
    <t>https://cookiepdf-v2-assests.s3.ap-south-1.amazonaws.com/NCT+OF+Delhi/NORTH/1+-+NERELA_295/2025-EROLLGEN-U05-1-FinalRoll-Revision1-ENG-279-WI.pdf</t>
  </si>
  <si>
    <t>https://cookiepdf-v2-assests.s3.ap-south-1.amazonaws.com/NCT+OF+Delhi/NORTH/1+-+NERELA_295/2025-EROLLGEN-U05-1-FinalRoll-Revision1-ENG-280-WI.pdf</t>
  </si>
  <si>
    <t>https://cookiepdf-v2-assests.s3.ap-south-1.amazonaws.com/NCT+OF+Delhi/NORTH/1+-+NERELA_295/2025-EROLLGEN-U05-1-FinalRoll-Revision1-ENG-281-WI.pdf</t>
  </si>
  <si>
    <t>https://cookiepdf-v2-assests.s3.ap-south-1.amazonaws.com/NCT+OF+Delhi/NORTH/1+-+NERELA_295/2025-EROLLGEN-U05-1-FinalRoll-Revision1-ENG-282-WI.pdf</t>
  </si>
  <si>
    <t>https://cookiepdf-v2-assests.s3.ap-south-1.amazonaws.com/NCT+OF+Delhi/NORTH/1+-+NERELA_295/2025-EROLLGEN-U05-1-FinalRoll-Revision1-ENG-283-WI.pdf</t>
  </si>
  <si>
    <t>https://cookiepdf-v2-assests.s3.ap-south-1.amazonaws.com/NCT+OF+Delhi/NORTH/1+-+NERELA_295/2025-EROLLGEN-U05-1-FinalRoll-Revision1-ENG-284-WI.pdf</t>
  </si>
  <si>
    <t>https://cookiepdf-v2-assests.s3.ap-south-1.amazonaws.com/NCT+OF+Delhi/NORTH/1+-+NERELA_295/2025-EROLLGEN-U05-1-FinalRoll-Revision1-ENG-285-WI.pdf</t>
  </si>
  <si>
    <t>https://cookiepdf-v2-assests.s3.ap-south-1.amazonaws.com/NCT+OF+Delhi/NORTH/1+-+NERELA_295/2025-EROLLGEN-U05-1-FinalRoll-Revision1-ENG-286-WI.pdf</t>
  </si>
  <si>
    <t>https://cookiepdf-v2-assests.s3.ap-south-1.amazonaws.com/NCT+OF+Delhi/NORTH/1+-+NERELA_295/2025-EROLLGEN-U05-1-FinalRoll-Revision1-ENG-287-WI.pdf</t>
  </si>
  <si>
    <t>https://cookiepdf-v2-assests.s3.ap-south-1.amazonaws.com/NCT+OF+Delhi/NORTH/1+-+NERELA_295/2025-EROLLGEN-U05-1-FinalRoll-Revision1-ENG-288-WI.pdf</t>
  </si>
  <si>
    <t>https://cookiepdf-v2-assests.s3.ap-south-1.amazonaws.com/NCT+OF+Delhi/NORTH/1+-+NERELA_295/2025-EROLLGEN-U05-1-FinalRoll-Revision1-ENG-289-WI.pdf</t>
  </si>
  <si>
    <t>https://cookiepdf-v2-assests.s3.ap-south-1.amazonaws.com/NCT+OF+Delhi/NORTH/1+-+NERELA_295/2025-EROLLGEN-U05-1-FinalRoll-Revision1-ENG-290-WI.pdf</t>
  </si>
  <si>
    <t>https://cookiepdf-v2-assests.s3.ap-south-1.amazonaws.com/NCT+OF+Delhi/NORTH/1+-+NERELA_295/2025-EROLLGEN-U05-1-FinalRoll-Revision1-ENG-291-WI.pdf</t>
  </si>
  <si>
    <t>https://cookiepdf-v2-assests.s3.ap-south-1.amazonaws.com/NCT+OF+Delhi/NORTH/1+-+NERELA_295/2025-EROLLGEN-U05-1-FinalRoll-Revision1-ENG-292-WI.pdf</t>
  </si>
  <si>
    <t>https://cookiepdf-v2-assests.s3.ap-south-1.amazonaws.com/NCT+OF+Delhi/NORTH/1+-+NERELA_295/2025-EROLLGEN-U05-1-FinalRoll-Revision1-ENG-293-WI.pdf</t>
  </si>
  <si>
    <t>https://cookiepdf-v2-assests.s3.ap-south-1.amazonaws.com/NCT+OF+Delhi/NORTH/1+-+NERELA_295/2025-EROLLGEN-U05-1-FinalRoll-Revision1-ENG-294-WI.pdf</t>
  </si>
  <si>
    <t>https://cookiepdf-v2-assests.s3.ap-south-1.amazonaws.com/NCT+OF+Delhi/NORTH/1+-+NERELA_295/2025-EROLLGEN-U05-1-FinalRoll-Revision1-ENG-295-WI.pdf</t>
  </si>
  <si>
    <t>https://cookiepdf-v2-assests.s3.ap-south-1.amazonaws.com/NCT+OF+Delhi/CENTRAL/2+-+BURARI_324/2025-EROLLGEN-U05-2-FinalRoll-Revision1-ENG-1-WI.pdf</t>
  </si>
  <si>
    <t>https://cookiepdf-v2-assests.s3.ap-south-1.amazonaws.com/NCT+OF+Delhi/CENTRAL/2+-+BURARI_324/2025-EROLLGEN-U05-2-FinalRoll-Revision1-ENG-2-WI.pdf</t>
  </si>
  <si>
    <t>https://cookiepdf-v2-assests.s3.ap-south-1.amazonaws.com/NCT+OF+Delhi/CENTRAL/2+-+BURARI_324/2025-EROLLGEN-U05-2-FinalRoll-Revision1-ENG-3-WI.pdf</t>
  </si>
  <si>
    <t>https://cookiepdf-v2-assests.s3.ap-south-1.amazonaws.com/NCT+OF+Delhi/CENTRAL/2+-+BURARI_324/2025-EROLLGEN-U05-2-FinalRoll-Revision1-ENG-4-WI.pdf</t>
  </si>
  <si>
    <t>https://cookiepdf-v2-assests.s3.ap-south-1.amazonaws.com/NCT+OF+Delhi/CENTRAL/2+-+BURARI_324/2025-EROLLGEN-U05-2-FinalRoll-Revision1-ENG-5-WI.pdf</t>
  </si>
  <si>
    <t>https://cookiepdf-v2-assests.s3.ap-south-1.amazonaws.com/NCT+OF+Delhi/CENTRAL/2+-+BURARI_324/2025-EROLLGEN-U05-2-FinalRoll-Revision1-ENG-6-WI.pdf</t>
  </si>
  <si>
    <t>https://cookiepdf-v2-assests.s3.ap-south-1.amazonaws.com/NCT+OF+Delhi/CENTRAL/2+-+BURARI_324/2025-EROLLGEN-U05-2-FinalRoll-Revision1-ENG-7-WI.pdf</t>
  </si>
  <si>
    <t>https://cookiepdf-v2-assests.s3.ap-south-1.amazonaws.com/NCT+OF+Delhi/CENTRAL/2+-+BURARI_324/2025-EROLLGEN-U05-2-FinalRoll-Revision1-ENG-8-WI.pdf</t>
  </si>
  <si>
    <t>https://cookiepdf-v2-assests.s3.ap-south-1.amazonaws.com/NCT+OF+Delhi/CENTRAL/2+-+BURARI_324/2025-EROLLGEN-U05-2-FinalRoll-Revision1-ENG-9-WI.pdf</t>
  </si>
  <si>
    <t>https://cookiepdf-v2-assests.s3.ap-south-1.amazonaws.com/NCT+OF+Delhi/CENTRAL/2+-+BURARI_324/2025-EROLLGEN-U05-2-FinalRoll-Revision1-ENG-10-WI.pdf</t>
  </si>
  <si>
    <t>https://cookiepdf-v2-assests.s3.ap-south-1.amazonaws.com/NCT+OF+Delhi/CENTRAL/2+-+BURARI_324/2025-EROLLGEN-U05-2-FinalRoll-Revision1-ENG-11-WI.pdf</t>
  </si>
  <si>
    <t>https://cookiepdf-v2-assests.s3.ap-south-1.amazonaws.com/NCT+OF+Delhi/CENTRAL/2+-+BURARI_324/2025-EROLLGEN-U05-2-FinalRoll-Revision1-ENG-12-WI.pdf</t>
  </si>
  <si>
    <t>https://cookiepdf-v2-assests.s3.ap-south-1.amazonaws.com/NCT+OF+Delhi/CENTRAL/2+-+BURARI_324/2025-EROLLGEN-U05-2-FinalRoll-Revision1-ENG-13-WI.pdf</t>
  </si>
  <si>
    <t>https://cookiepdf-v2-assests.s3.ap-south-1.amazonaws.com/NCT+OF+Delhi/CENTRAL/2+-+BURARI_324/2025-EROLLGEN-U05-2-FinalRoll-Revision1-ENG-14-WI.pdf</t>
  </si>
  <si>
    <t>https://cookiepdf-v2-assests.s3.ap-south-1.amazonaws.com/NCT+OF+Delhi/CENTRAL/2+-+BURARI_324/2025-EROLLGEN-U05-2-FinalRoll-Revision1-ENG-15-WI.pdf</t>
  </si>
  <si>
    <t>https://cookiepdf-v2-assests.s3.ap-south-1.amazonaws.com/NCT+OF+Delhi/CENTRAL/2+-+BURARI_324/2025-EROLLGEN-U05-2-FinalRoll-Revision1-ENG-16-WI.pdf</t>
  </si>
  <si>
    <t>https://cookiepdf-v2-assests.s3.ap-south-1.amazonaws.com/NCT+OF+Delhi/CENTRAL/2+-+BURARI_324/2025-EROLLGEN-U05-2-FinalRoll-Revision1-ENG-17-WI.pdf</t>
  </si>
  <si>
    <t>https://cookiepdf-v2-assests.s3.ap-south-1.amazonaws.com/NCT+OF+Delhi/CENTRAL/2+-+BURARI_324/2025-EROLLGEN-U05-2-FinalRoll-Revision1-ENG-18-WI.pdf</t>
  </si>
  <si>
    <t>https://cookiepdf-v2-assests.s3.ap-south-1.amazonaws.com/NCT+OF+Delhi/CENTRAL/2+-+BURARI_324/2025-EROLLGEN-U05-2-FinalRoll-Revision1-ENG-19-WI.pdf</t>
  </si>
  <si>
    <t>https://cookiepdf-v2-assests.s3.ap-south-1.amazonaws.com/NCT+OF+Delhi/CENTRAL/2+-+BURARI_324/2025-EROLLGEN-U05-2-FinalRoll-Revision1-ENG-20-WI.pdf</t>
  </si>
  <si>
    <t>https://cookiepdf-v2-assests.s3.ap-south-1.amazonaws.com/NCT+OF+Delhi/CENTRAL/2+-+BURARI_324/2025-EROLLGEN-U05-2-FinalRoll-Revision1-ENG-21-WI.pdf</t>
  </si>
  <si>
    <t>https://cookiepdf-v2-assests.s3.ap-south-1.amazonaws.com/NCT+OF+Delhi/CENTRAL/2+-+BURARI_324/2025-EROLLGEN-U05-2-FinalRoll-Revision1-ENG-22-WI.pdf</t>
  </si>
  <si>
    <t>https://cookiepdf-v2-assests.s3.ap-south-1.amazonaws.com/NCT+OF+Delhi/CENTRAL/2+-+BURARI_324/2025-EROLLGEN-U05-2-FinalRoll-Revision1-ENG-23-WI.pdf</t>
  </si>
  <si>
    <t>https://cookiepdf-v2-assests.s3.ap-south-1.amazonaws.com/NCT+OF+Delhi/CENTRAL/2+-+BURARI_324/2025-EROLLGEN-U05-2-FinalRoll-Revision1-ENG-24-WI.pdf</t>
  </si>
  <si>
    <t>https://cookiepdf-v2-assests.s3.ap-south-1.amazonaws.com/NCT+OF+Delhi/CENTRAL/2+-+BURARI_324/2025-EROLLGEN-U05-2-FinalRoll-Revision1-ENG-25-WI.pdf</t>
  </si>
  <si>
    <t>https://cookiepdf-v2-assests.s3.ap-south-1.amazonaws.com/NCT+OF+Delhi/CENTRAL/2+-+BURARI_324/2025-EROLLGEN-U05-2-FinalRoll-Revision1-ENG-26-WI.pdf</t>
  </si>
  <si>
    <t>https://cookiepdf-v2-assests.s3.ap-south-1.amazonaws.com/NCT+OF+Delhi/CENTRAL/2+-+BURARI_324/2025-EROLLGEN-U05-2-FinalRoll-Revision1-ENG-27-WI.pdf</t>
  </si>
  <si>
    <t>https://cookiepdf-v2-assests.s3.ap-south-1.amazonaws.com/NCT+OF+Delhi/CENTRAL/2+-+BURARI_324/2025-EROLLGEN-U05-2-FinalRoll-Revision1-ENG-28-WI.pdf</t>
  </si>
  <si>
    <t>https://cookiepdf-v2-assests.s3.ap-south-1.amazonaws.com/NCT+OF+Delhi/CENTRAL/2+-+BURARI_324/2025-EROLLGEN-U05-2-FinalRoll-Revision1-ENG-29-WI.pdf</t>
  </si>
  <si>
    <t>https://cookiepdf-v2-assests.s3.ap-south-1.amazonaws.com/NCT+OF+Delhi/CENTRAL/2+-+BURARI_324/2025-EROLLGEN-U05-2-FinalRoll-Revision1-ENG-30-WI.pdf</t>
  </si>
  <si>
    <t>https://cookiepdf-v2-assests.s3.ap-south-1.amazonaws.com/NCT+OF+Delhi/CENTRAL/2+-+BURARI_324/2025-EROLLGEN-U05-2-FinalRoll-Revision1-ENG-31-WI.pdf</t>
  </si>
  <si>
    <t>https://cookiepdf-v2-assests.s3.ap-south-1.amazonaws.com/NCT+OF+Delhi/CENTRAL/2+-+BURARI_324/2025-EROLLGEN-U05-2-FinalRoll-Revision1-ENG-32-WI.pdf</t>
  </si>
  <si>
    <t>https://cookiepdf-v2-assests.s3.ap-south-1.amazonaws.com/NCT+OF+Delhi/CENTRAL/2+-+BURARI_324/2025-EROLLGEN-U05-2-FinalRoll-Revision1-ENG-33-WI.pdf</t>
  </si>
  <si>
    <t>https://cookiepdf-v2-assests.s3.ap-south-1.amazonaws.com/NCT+OF+Delhi/CENTRAL/2+-+BURARI_324/2025-EROLLGEN-U05-2-FinalRoll-Revision1-ENG-34-WI.pdf</t>
  </si>
  <si>
    <t>https://cookiepdf-v2-assests.s3.ap-south-1.amazonaws.com/NCT+OF+Delhi/CENTRAL/2+-+BURARI_324/2025-EROLLGEN-U05-2-FinalRoll-Revision1-ENG-35-WI.pdf</t>
  </si>
  <si>
    <t>https://cookiepdf-v2-assests.s3.ap-south-1.amazonaws.com/NCT+OF+Delhi/CENTRAL/2+-+BURARI_324/2025-EROLLGEN-U05-2-FinalRoll-Revision1-ENG-36-WI.pdf</t>
  </si>
  <si>
    <t>https://cookiepdf-v2-assests.s3.ap-south-1.amazonaws.com/NCT+OF+Delhi/CENTRAL/2+-+BURARI_324/2025-EROLLGEN-U05-2-FinalRoll-Revision1-ENG-37-WI.pdf</t>
  </si>
  <si>
    <t>https://cookiepdf-v2-assests.s3.ap-south-1.amazonaws.com/NCT+OF+Delhi/CENTRAL/2+-+BURARI_324/2025-EROLLGEN-U05-2-FinalRoll-Revision1-ENG-38-WI.pdf</t>
  </si>
  <si>
    <t>https://cookiepdf-v2-assests.s3.ap-south-1.amazonaws.com/NCT+OF+Delhi/CENTRAL/2+-+BURARI_324/2025-EROLLGEN-U05-2-FinalRoll-Revision1-ENG-39-WI.pdf</t>
  </si>
  <si>
    <t>https://cookiepdf-v2-assests.s3.ap-south-1.amazonaws.com/NCT+OF+Delhi/CENTRAL/2+-+BURARI_324/2025-EROLLGEN-U05-2-FinalRoll-Revision1-ENG-40-WI.pdf</t>
  </si>
  <si>
    <t>https://cookiepdf-v2-assests.s3.ap-south-1.amazonaws.com/NCT+OF+Delhi/CENTRAL/2+-+BURARI_324/2025-EROLLGEN-U05-2-FinalRoll-Revision1-ENG-41-WI.pdf</t>
  </si>
  <si>
    <t>https://cookiepdf-v2-assests.s3.ap-south-1.amazonaws.com/NCT+OF+Delhi/CENTRAL/2+-+BURARI_324/2025-EROLLGEN-U05-2-FinalRoll-Revision1-ENG-42-WI.pdf</t>
  </si>
  <si>
    <t>https://cookiepdf-v2-assests.s3.ap-south-1.amazonaws.com/NCT+OF+Delhi/CENTRAL/2+-+BURARI_324/2025-EROLLGEN-U05-2-FinalRoll-Revision1-ENG-43-WI.pdf</t>
  </si>
  <si>
    <t>https://cookiepdf-v2-assests.s3.ap-south-1.amazonaws.com/NCT+OF+Delhi/CENTRAL/2+-+BURARI_324/2025-EROLLGEN-U05-2-FinalRoll-Revision1-ENG-44-WI.pdf</t>
  </si>
  <si>
    <t>https://cookiepdf-v2-assests.s3.ap-south-1.amazonaws.com/NCT+OF+Delhi/CENTRAL/2+-+BURARI_324/2025-EROLLGEN-U05-2-FinalRoll-Revision1-ENG-45-WI.pdf</t>
  </si>
  <si>
    <t>https://cookiepdf-v2-assests.s3.ap-south-1.amazonaws.com/NCT+OF+Delhi/CENTRAL/2+-+BURARI_324/2025-EROLLGEN-U05-2-FinalRoll-Revision1-ENG-46-WI.pdf</t>
  </si>
  <si>
    <t>https://cookiepdf-v2-assests.s3.ap-south-1.amazonaws.com/NCT+OF+Delhi/CENTRAL/2+-+BURARI_324/2025-EROLLGEN-U05-2-FinalRoll-Revision1-ENG-47-WI.pdf</t>
  </si>
  <si>
    <t>https://cookiepdf-v2-assests.s3.ap-south-1.amazonaws.com/NCT+OF+Delhi/CENTRAL/2+-+BURARI_324/2025-EROLLGEN-U05-2-FinalRoll-Revision1-ENG-48-WI.pdf</t>
  </si>
  <si>
    <t>https://cookiepdf-v2-assests.s3.ap-south-1.amazonaws.com/NCT+OF+Delhi/CENTRAL/2+-+BURARI_324/2025-EROLLGEN-U05-2-FinalRoll-Revision1-ENG-49-WI.pdf</t>
  </si>
  <si>
    <t>https://cookiepdf-v2-assests.s3.ap-south-1.amazonaws.com/NCT+OF+Delhi/CENTRAL/2+-+BURARI_324/2025-EROLLGEN-U05-2-FinalRoll-Revision1-ENG-50-WI.pdf</t>
  </si>
  <si>
    <t>https://cookiepdf-v2-assests.s3.ap-south-1.amazonaws.com/NCT+OF+Delhi/CENTRAL/2+-+BURARI_324/2025-EROLLGEN-U05-2-FinalRoll-Revision1-ENG-51-WI.pdf</t>
  </si>
  <si>
    <t>https://cookiepdf-v2-assests.s3.ap-south-1.amazonaws.com/NCT+OF+Delhi/CENTRAL/2+-+BURARI_324/2025-EROLLGEN-U05-2-FinalRoll-Revision1-ENG-52-WI.pdf</t>
  </si>
  <si>
    <t>https://cookiepdf-v2-assests.s3.ap-south-1.amazonaws.com/NCT+OF+Delhi/CENTRAL/2+-+BURARI_324/2025-EROLLGEN-U05-2-FinalRoll-Revision1-ENG-53-WI.pdf</t>
  </si>
  <si>
    <t>https://cookiepdf-v2-assests.s3.ap-south-1.amazonaws.com/NCT+OF+Delhi/CENTRAL/2+-+BURARI_324/2025-EROLLGEN-U05-2-FinalRoll-Revision1-ENG-54-WI.pdf</t>
  </si>
  <si>
    <t>https://cookiepdf-v2-assests.s3.ap-south-1.amazonaws.com/NCT+OF+Delhi/CENTRAL/2+-+BURARI_324/2025-EROLLGEN-U05-2-FinalRoll-Revision1-ENG-55-WI.pdf</t>
  </si>
  <si>
    <t>https://cookiepdf-v2-assests.s3.ap-south-1.amazonaws.com/NCT+OF+Delhi/CENTRAL/2+-+BURARI_324/2025-EROLLGEN-U05-2-FinalRoll-Revision1-ENG-56-WI.pdf</t>
  </si>
  <si>
    <t>https://cookiepdf-v2-assests.s3.ap-south-1.amazonaws.com/NCT+OF+Delhi/CENTRAL/2+-+BURARI_324/2025-EROLLGEN-U05-2-FinalRoll-Revision1-ENG-57-WI.pdf</t>
  </si>
  <si>
    <t>https://cookiepdf-v2-assests.s3.ap-south-1.amazonaws.com/NCT+OF+Delhi/CENTRAL/2+-+BURARI_324/2025-EROLLGEN-U05-2-FinalRoll-Revision1-ENG-58-WI.pdf</t>
  </si>
  <si>
    <t>https://cookiepdf-v2-assests.s3.ap-south-1.amazonaws.com/NCT+OF+Delhi/CENTRAL/2+-+BURARI_324/2025-EROLLGEN-U05-2-FinalRoll-Revision1-ENG-59-WI.pdf</t>
  </si>
  <si>
    <t>https://cookiepdf-v2-assests.s3.ap-south-1.amazonaws.com/NCT+OF+Delhi/CENTRAL/2+-+BURARI_324/2025-EROLLGEN-U05-2-FinalRoll-Revision1-ENG-60-WI.pdf</t>
  </si>
  <si>
    <t>https://cookiepdf-v2-assests.s3.ap-south-1.amazonaws.com/NCT+OF+Delhi/CENTRAL/2+-+BURARI_324/2025-EROLLGEN-U05-2-FinalRoll-Revision1-ENG-61-WI.pdf</t>
  </si>
  <si>
    <t>https://cookiepdf-v2-assests.s3.ap-south-1.amazonaws.com/NCT+OF+Delhi/CENTRAL/2+-+BURARI_324/2025-EROLLGEN-U05-2-FinalRoll-Revision1-ENG-62-WI.pdf</t>
  </si>
  <si>
    <t>https://cookiepdf-v2-assests.s3.ap-south-1.amazonaws.com/NCT+OF+Delhi/CENTRAL/2+-+BURARI_324/2025-EROLLGEN-U05-2-FinalRoll-Revision1-ENG-63-WI.pdf</t>
  </si>
  <si>
    <t>https://cookiepdf-v2-assests.s3.ap-south-1.amazonaws.com/NCT+OF+Delhi/CENTRAL/2+-+BURARI_324/2025-EROLLGEN-U05-2-FinalRoll-Revision1-ENG-64-WI.pdf</t>
  </si>
  <si>
    <t>https://cookiepdf-v2-assests.s3.ap-south-1.amazonaws.com/NCT+OF+Delhi/CENTRAL/2+-+BURARI_324/2025-EROLLGEN-U05-2-FinalRoll-Revision1-ENG-65-WI.pdf</t>
  </si>
  <si>
    <t>https://cookiepdf-v2-assests.s3.ap-south-1.amazonaws.com/NCT+OF+Delhi/CENTRAL/2+-+BURARI_324/2025-EROLLGEN-U05-2-FinalRoll-Revision1-ENG-66-WI.pdf</t>
  </si>
  <si>
    <t>https://cookiepdf-v2-assests.s3.ap-south-1.amazonaws.com/NCT+OF+Delhi/CENTRAL/2+-+BURARI_324/2025-EROLLGEN-U05-2-FinalRoll-Revision1-ENG-67-WI.pdf</t>
  </si>
  <si>
    <t>https://cookiepdf-v2-assests.s3.ap-south-1.amazonaws.com/NCT+OF+Delhi/CENTRAL/2+-+BURARI_324/2025-EROLLGEN-U05-2-FinalRoll-Revision1-ENG-68-WI.pdf</t>
  </si>
  <si>
    <t>https://cookiepdf-v2-assests.s3.ap-south-1.amazonaws.com/NCT+OF+Delhi/CENTRAL/2+-+BURARI_324/2025-EROLLGEN-U05-2-FinalRoll-Revision1-ENG-69-WI.pdf</t>
  </si>
  <si>
    <t>https://cookiepdf-v2-assests.s3.ap-south-1.amazonaws.com/NCT+OF+Delhi/CENTRAL/2+-+BURARI_324/2025-EROLLGEN-U05-2-FinalRoll-Revision1-ENG-70-WI.pdf</t>
  </si>
  <si>
    <t>https://cookiepdf-v2-assests.s3.ap-south-1.amazonaws.com/NCT+OF+Delhi/CENTRAL/2+-+BURARI_324/2025-EROLLGEN-U05-2-FinalRoll-Revision1-ENG-71-WI.pdf</t>
  </si>
  <si>
    <t>https://cookiepdf-v2-assests.s3.ap-south-1.amazonaws.com/NCT+OF+Delhi/CENTRAL/2+-+BURARI_324/2025-EROLLGEN-U05-2-FinalRoll-Revision1-ENG-72-WI.pdf</t>
  </si>
  <si>
    <t>https://cookiepdf-v2-assests.s3.ap-south-1.amazonaws.com/NCT+OF+Delhi/CENTRAL/2+-+BURARI_324/2025-EROLLGEN-U05-2-FinalRoll-Revision1-ENG-73-WI.pdf</t>
  </si>
  <si>
    <t>https://cookiepdf-v2-assests.s3.ap-south-1.amazonaws.com/NCT+OF+Delhi/CENTRAL/2+-+BURARI_324/2025-EROLLGEN-U05-2-FinalRoll-Revision1-ENG-74-WI.pdf</t>
  </si>
  <si>
    <t>https://cookiepdf-v2-assests.s3.ap-south-1.amazonaws.com/NCT+OF+Delhi/CENTRAL/2+-+BURARI_324/2025-EROLLGEN-U05-2-FinalRoll-Revision1-ENG-75-WI.pdf</t>
  </si>
  <si>
    <t>https://cookiepdf-v2-assests.s3.ap-south-1.amazonaws.com/NCT+OF+Delhi/CENTRAL/2+-+BURARI_324/2025-EROLLGEN-U05-2-FinalRoll-Revision1-ENG-76-WI.pdf</t>
  </si>
  <si>
    <t>https://cookiepdf-v2-assests.s3.ap-south-1.amazonaws.com/NCT+OF+Delhi/CENTRAL/2+-+BURARI_324/2025-EROLLGEN-U05-2-FinalRoll-Revision1-ENG-77-WI.pdf</t>
  </si>
  <si>
    <t>https://cookiepdf-v2-assests.s3.ap-south-1.amazonaws.com/NCT+OF+Delhi/CENTRAL/2+-+BURARI_324/2025-EROLLGEN-U05-2-FinalRoll-Revision1-ENG-78-WI.pdf</t>
  </si>
  <si>
    <t>https://cookiepdf-v2-assests.s3.ap-south-1.amazonaws.com/NCT+OF+Delhi/CENTRAL/2+-+BURARI_324/2025-EROLLGEN-U05-2-FinalRoll-Revision1-ENG-79-WI.pdf</t>
  </si>
  <si>
    <t>https://cookiepdf-v2-assests.s3.ap-south-1.amazonaws.com/NCT+OF+Delhi/CENTRAL/2+-+BURARI_324/2025-EROLLGEN-U05-2-FinalRoll-Revision1-ENG-80-WI.pdf</t>
  </si>
  <si>
    <t>https://cookiepdf-v2-assests.s3.ap-south-1.amazonaws.com/NCT+OF+Delhi/CENTRAL/2+-+BURARI_324/2025-EROLLGEN-U05-2-FinalRoll-Revision1-ENG-81-WI.pdf</t>
  </si>
  <si>
    <t>https://cookiepdf-v2-assests.s3.ap-south-1.amazonaws.com/NCT+OF+Delhi/CENTRAL/2+-+BURARI_324/2025-EROLLGEN-U05-2-FinalRoll-Revision1-ENG-82-WI.pdf</t>
  </si>
  <si>
    <t>https://cookiepdf-v2-assests.s3.ap-south-1.amazonaws.com/NCT+OF+Delhi/CENTRAL/2+-+BURARI_324/2025-EROLLGEN-U05-2-FinalRoll-Revision1-ENG-83-WI.pdf</t>
  </si>
  <si>
    <t>https://cookiepdf-v2-assests.s3.ap-south-1.amazonaws.com/NCT+OF+Delhi/CENTRAL/2+-+BURARI_324/2025-EROLLGEN-U05-2-FinalRoll-Revision1-ENG-84-WI.pdf</t>
  </si>
  <si>
    <t>https://cookiepdf-v2-assests.s3.ap-south-1.amazonaws.com/NCT+OF+Delhi/CENTRAL/2+-+BURARI_324/2025-EROLLGEN-U05-2-FinalRoll-Revision1-ENG-85-WI.pdf</t>
  </si>
  <si>
    <t>https://cookiepdf-v2-assests.s3.ap-south-1.amazonaws.com/NCT+OF+Delhi/CENTRAL/2+-+BURARI_324/2025-EROLLGEN-U05-2-FinalRoll-Revision1-ENG-86-WI.pdf</t>
  </si>
  <si>
    <t>https://cookiepdf-v2-assests.s3.ap-south-1.amazonaws.com/NCT+OF+Delhi/CENTRAL/2+-+BURARI_324/2025-EROLLGEN-U05-2-FinalRoll-Revision1-ENG-87-WI.pdf</t>
  </si>
  <si>
    <t>https://cookiepdf-v2-assests.s3.ap-south-1.amazonaws.com/NCT+OF+Delhi/CENTRAL/2+-+BURARI_324/2025-EROLLGEN-U05-2-FinalRoll-Revision1-ENG-88-WI.pdf</t>
  </si>
  <si>
    <t>https://cookiepdf-v2-assests.s3.ap-south-1.amazonaws.com/NCT+OF+Delhi/CENTRAL/2+-+BURARI_324/2025-EROLLGEN-U05-2-FinalRoll-Revision1-ENG-89-WI.pdf</t>
  </si>
  <si>
    <t>https://cookiepdf-v2-assests.s3.ap-south-1.amazonaws.com/NCT+OF+Delhi/CENTRAL/2+-+BURARI_324/2025-EROLLGEN-U05-2-FinalRoll-Revision1-ENG-90-WI.pdf</t>
  </si>
  <si>
    <t>https://cookiepdf-v2-assests.s3.ap-south-1.amazonaws.com/NCT+OF+Delhi/CENTRAL/2+-+BURARI_324/2025-EROLLGEN-U05-2-FinalRoll-Revision1-ENG-91-WI.pdf</t>
  </si>
  <si>
    <t>https://cookiepdf-v2-assests.s3.ap-south-1.amazonaws.com/NCT+OF+Delhi/CENTRAL/2+-+BURARI_324/2025-EROLLGEN-U05-2-FinalRoll-Revision1-ENG-92-WI.pdf</t>
  </si>
  <si>
    <t>https://cookiepdf-v2-assests.s3.ap-south-1.amazonaws.com/NCT+OF+Delhi/CENTRAL/2+-+BURARI_324/2025-EROLLGEN-U05-2-FinalRoll-Revision1-ENG-93-WI.pdf</t>
  </si>
  <si>
    <t>https://cookiepdf-v2-assests.s3.ap-south-1.amazonaws.com/NCT+OF+Delhi/CENTRAL/2+-+BURARI_324/2025-EROLLGEN-U05-2-FinalRoll-Revision1-ENG-94-WI.pdf</t>
  </si>
  <si>
    <t>https://cookiepdf-v2-assests.s3.ap-south-1.amazonaws.com/NCT+OF+Delhi/CENTRAL/2+-+BURARI_324/2025-EROLLGEN-U05-2-FinalRoll-Revision1-ENG-95-WI.pdf</t>
  </si>
  <si>
    <t>https://cookiepdf-v2-assests.s3.ap-south-1.amazonaws.com/NCT+OF+Delhi/CENTRAL/2+-+BURARI_324/2025-EROLLGEN-U05-2-FinalRoll-Revision1-ENG-96-WI.pdf</t>
  </si>
  <si>
    <t>https://cookiepdf-v2-assests.s3.ap-south-1.amazonaws.com/NCT+OF+Delhi/CENTRAL/2+-+BURARI_324/2025-EROLLGEN-U05-2-FinalRoll-Revision1-ENG-97-WI.pdf</t>
  </si>
  <si>
    <t>https://cookiepdf-v2-assests.s3.ap-south-1.amazonaws.com/NCT+OF+Delhi/CENTRAL/2+-+BURARI_324/2025-EROLLGEN-U05-2-FinalRoll-Revision1-ENG-98-WI.pdf</t>
  </si>
  <si>
    <t>https://cookiepdf-v2-assests.s3.ap-south-1.amazonaws.com/NCT+OF+Delhi/CENTRAL/2+-+BURARI_324/2025-EROLLGEN-U05-2-FinalRoll-Revision1-ENG-99-WI.pdf</t>
  </si>
  <si>
    <t>https://cookiepdf-v2-assests.s3.ap-south-1.amazonaws.com/NCT+OF+Delhi/CENTRAL/2+-+BURARI_324/2025-EROLLGEN-U05-2-FinalRoll-Revision1-ENG-100-WI.pdf</t>
  </si>
  <si>
    <t>https://cookiepdf-v2-assests.s3.ap-south-1.amazonaws.com/NCT+OF+Delhi/CENTRAL/2+-+BURARI_324/2025-EROLLGEN-U05-2-FinalRoll-Revision1-ENG-101-WI.pdf</t>
  </si>
  <si>
    <t>https://cookiepdf-v2-assests.s3.ap-south-1.amazonaws.com/NCT+OF+Delhi/CENTRAL/2+-+BURARI_324/2025-EROLLGEN-U05-2-FinalRoll-Revision1-ENG-102-WI.pdf</t>
  </si>
  <si>
    <t>https://cookiepdf-v2-assests.s3.ap-south-1.amazonaws.com/NCT+OF+Delhi/CENTRAL/2+-+BURARI_324/2025-EROLLGEN-U05-2-FinalRoll-Revision1-ENG-103-WI.pdf</t>
  </si>
  <si>
    <t>https://cookiepdf-v2-assests.s3.ap-south-1.amazonaws.com/NCT+OF+Delhi/CENTRAL/2+-+BURARI_324/2025-EROLLGEN-U05-2-FinalRoll-Revision1-ENG-104-WI.pdf</t>
  </si>
  <si>
    <t>https://cookiepdf-v2-assests.s3.ap-south-1.amazonaws.com/NCT+OF+Delhi/CENTRAL/2+-+BURARI_324/2025-EROLLGEN-U05-2-FinalRoll-Revision1-ENG-105-WI.pdf</t>
  </si>
  <si>
    <t>https://cookiepdf-v2-assests.s3.ap-south-1.amazonaws.com/NCT+OF+Delhi/CENTRAL/2+-+BURARI_324/2025-EROLLGEN-U05-2-FinalRoll-Revision1-ENG-106-WI.pdf</t>
  </si>
  <si>
    <t>https://cookiepdf-v2-assests.s3.ap-south-1.amazonaws.com/NCT+OF+Delhi/CENTRAL/2+-+BURARI_324/2025-EROLLGEN-U05-2-FinalRoll-Revision1-ENG-107-WI.pdf</t>
  </si>
  <si>
    <t>https://cookiepdf-v2-assests.s3.ap-south-1.amazonaws.com/NCT+OF+Delhi/CENTRAL/2+-+BURARI_324/2025-EROLLGEN-U05-2-FinalRoll-Revision1-ENG-108-WI.pdf</t>
  </si>
  <si>
    <t>https://cookiepdf-v2-assests.s3.ap-south-1.amazonaws.com/NCT+OF+Delhi/CENTRAL/2+-+BURARI_324/2025-EROLLGEN-U05-2-FinalRoll-Revision1-ENG-109-WI.pdf</t>
  </si>
  <si>
    <t>https://cookiepdf-v2-assests.s3.ap-south-1.amazonaws.com/NCT+OF+Delhi/CENTRAL/2+-+BURARI_324/2025-EROLLGEN-U05-2-FinalRoll-Revision1-ENG-110-WI.pdf</t>
  </si>
  <si>
    <t>https://cookiepdf-v2-assests.s3.ap-south-1.amazonaws.com/NCT+OF+Delhi/CENTRAL/2+-+BURARI_324/2025-EROLLGEN-U05-2-FinalRoll-Revision1-ENG-111-WI.pdf</t>
  </si>
  <si>
    <t>https://cookiepdf-v2-assests.s3.ap-south-1.amazonaws.com/NCT+OF+Delhi/CENTRAL/2+-+BURARI_324/2025-EROLLGEN-U05-2-FinalRoll-Revision1-ENG-112-WI.pdf</t>
  </si>
  <si>
    <t>https://cookiepdf-v2-assests.s3.ap-south-1.amazonaws.com/NCT+OF+Delhi/CENTRAL/2+-+BURARI_324/2025-EROLLGEN-U05-2-FinalRoll-Revision1-ENG-113-WI.pdf</t>
  </si>
  <si>
    <t>https://cookiepdf-v2-assests.s3.ap-south-1.amazonaws.com/NCT+OF+Delhi/CENTRAL/2+-+BURARI_324/2025-EROLLGEN-U05-2-FinalRoll-Revision1-ENG-114-WI.pdf</t>
  </si>
  <si>
    <t>https://cookiepdf-v2-assests.s3.ap-south-1.amazonaws.com/NCT+OF+Delhi/CENTRAL/2+-+BURARI_324/2025-EROLLGEN-U05-2-FinalRoll-Revision1-ENG-115-WI.pdf</t>
  </si>
  <si>
    <t>https://cookiepdf-v2-assests.s3.ap-south-1.amazonaws.com/NCT+OF+Delhi/CENTRAL/2+-+BURARI_324/2025-EROLLGEN-U05-2-FinalRoll-Revision1-ENG-116-WI.pdf</t>
  </si>
  <si>
    <t>https://cookiepdf-v2-assests.s3.ap-south-1.amazonaws.com/NCT+OF+Delhi/CENTRAL/2+-+BURARI_324/2025-EROLLGEN-U05-2-FinalRoll-Revision1-ENG-117-WI.pdf</t>
  </si>
  <si>
    <t>https://cookiepdf-v2-assests.s3.ap-south-1.amazonaws.com/NCT+OF+Delhi/CENTRAL/2+-+BURARI_324/2025-EROLLGEN-U05-2-FinalRoll-Revision1-ENG-118-WI.pdf</t>
  </si>
  <si>
    <t>https://cookiepdf-v2-assests.s3.ap-south-1.amazonaws.com/NCT+OF+Delhi/CENTRAL/2+-+BURARI_324/2025-EROLLGEN-U05-2-FinalRoll-Revision1-ENG-119-WI.pdf</t>
  </si>
  <si>
    <t>https://cookiepdf-v2-assests.s3.ap-south-1.amazonaws.com/NCT+OF+Delhi/CENTRAL/2+-+BURARI_324/2025-EROLLGEN-U05-2-FinalRoll-Revision1-ENG-120-WI.pdf</t>
  </si>
  <si>
    <t>https://cookiepdf-v2-assests.s3.ap-south-1.amazonaws.com/NCT+OF+Delhi/CENTRAL/2+-+BURARI_324/2025-EROLLGEN-U05-2-FinalRoll-Revision1-ENG-121-WI.pdf</t>
  </si>
  <si>
    <t>https://cookiepdf-v2-assests.s3.ap-south-1.amazonaws.com/NCT+OF+Delhi/CENTRAL/2+-+BURARI_324/2025-EROLLGEN-U05-2-FinalRoll-Revision1-ENG-122-WI.pdf</t>
  </si>
  <si>
    <t>https://cookiepdf-v2-assests.s3.ap-south-1.amazonaws.com/NCT+OF+Delhi/CENTRAL/2+-+BURARI_324/2025-EROLLGEN-U05-2-FinalRoll-Revision1-ENG-123-WI.pdf</t>
  </si>
  <si>
    <t>https://cookiepdf-v2-assests.s3.ap-south-1.amazonaws.com/NCT+OF+Delhi/CENTRAL/2+-+BURARI_324/2025-EROLLGEN-U05-2-FinalRoll-Revision1-ENG-124-WI.pdf</t>
  </si>
  <si>
    <t>https://cookiepdf-v2-assests.s3.ap-south-1.amazonaws.com/NCT+OF+Delhi/CENTRAL/2+-+BURARI_324/2025-EROLLGEN-U05-2-FinalRoll-Revision1-ENG-125-WI.pdf</t>
  </si>
  <si>
    <t>https://cookiepdf-v2-assests.s3.ap-south-1.amazonaws.com/NCT+OF+Delhi/CENTRAL/2+-+BURARI_324/2025-EROLLGEN-U05-2-FinalRoll-Revision1-ENG-126-WI.pdf</t>
  </si>
  <si>
    <t>https://cookiepdf-v2-assests.s3.ap-south-1.amazonaws.com/NCT+OF+Delhi/CENTRAL/2+-+BURARI_324/2025-EROLLGEN-U05-2-FinalRoll-Revision1-ENG-127-WI.pdf</t>
  </si>
  <si>
    <t>https://cookiepdf-v2-assests.s3.ap-south-1.amazonaws.com/NCT+OF+Delhi/CENTRAL/2+-+BURARI_324/2025-EROLLGEN-U05-2-FinalRoll-Revision1-ENG-128-WI.pdf</t>
  </si>
  <si>
    <t>https://cookiepdf-v2-assests.s3.ap-south-1.amazonaws.com/NCT+OF+Delhi/CENTRAL/2+-+BURARI_324/2025-EROLLGEN-U05-2-FinalRoll-Revision1-ENG-129-WI.pdf</t>
  </si>
  <si>
    <t>https://cookiepdf-v2-assests.s3.ap-south-1.amazonaws.com/NCT+OF+Delhi/CENTRAL/2+-+BURARI_324/2025-EROLLGEN-U05-2-FinalRoll-Revision1-ENG-130-WI.pdf</t>
  </si>
  <si>
    <t>https://cookiepdf-v2-assests.s3.ap-south-1.amazonaws.com/NCT+OF+Delhi/CENTRAL/2+-+BURARI_324/2025-EROLLGEN-U05-2-FinalRoll-Revision1-ENG-131-WI.pdf</t>
  </si>
  <si>
    <t>https://cookiepdf-v2-assests.s3.ap-south-1.amazonaws.com/NCT+OF+Delhi/CENTRAL/2+-+BURARI_324/2025-EROLLGEN-U05-2-FinalRoll-Revision1-ENG-132-WI.pdf</t>
  </si>
  <si>
    <t>https://cookiepdf-v2-assests.s3.ap-south-1.amazonaws.com/NCT+OF+Delhi/CENTRAL/2+-+BURARI_324/2025-EROLLGEN-U05-2-FinalRoll-Revision1-ENG-133-WI.pdf</t>
  </si>
  <si>
    <t>https://cookiepdf-v2-assests.s3.ap-south-1.amazonaws.com/NCT+OF+Delhi/CENTRAL/2+-+BURARI_324/2025-EROLLGEN-U05-2-FinalRoll-Revision1-ENG-134-WI.pdf</t>
  </si>
  <si>
    <t>https://cookiepdf-v2-assests.s3.ap-south-1.amazonaws.com/NCT+OF+Delhi/CENTRAL/2+-+BURARI_324/2025-EROLLGEN-U05-2-FinalRoll-Revision1-ENG-135-WI.pdf</t>
  </si>
  <si>
    <t>https://cookiepdf-v2-assests.s3.ap-south-1.amazonaws.com/NCT+OF+Delhi/CENTRAL/2+-+BURARI_324/2025-EROLLGEN-U05-2-FinalRoll-Revision1-ENG-136-WI.pdf</t>
  </si>
  <si>
    <t>https://cookiepdf-v2-assests.s3.ap-south-1.amazonaws.com/NCT+OF+Delhi/CENTRAL/2+-+BURARI_324/2025-EROLLGEN-U05-2-FinalRoll-Revision1-ENG-137-WI.pdf</t>
  </si>
  <si>
    <t>https://cookiepdf-v2-assests.s3.ap-south-1.amazonaws.com/NCT+OF+Delhi/CENTRAL/2+-+BURARI_324/2025-EROLLGEN-U05-2-FinalRoll-Revision1-ENG-138-WI.pdf</t>
  </si>
  <si>
    <t>https://cookiepdf-v2-assests.s3.ap-south-1.amazonaws.com/NCT+OF+Delhi/CENTRAL/2+-+BURARI_324/2025-EROLLGEN-U05-2-FinalRoll-Revision1-ENG-139-WI.pdf</t>
  </si>
  <si>
    <t>https://cookiepdf-v2-assests.s3.ap-south-1.amazonaws.com/NCT+OF+Delhi/CENTRAL/2+-+BURARI_324/2025-EROLLGEN-U05-2-FinalRoll-Revision1-ENG-140-WI.pdf</t>
  </si>
  <si>
    <t>https://cookiepdf-v2-assests.s3.ap-south-1.amazonaws.com/NCT+OF+Delhi/CENTRAL/2+-+BURARI_324/2025-EROLLGEN-U05-2-FinalRoll-Revision1-ENG-141-WI.pdf</t>
  </si>
  <si>
    <t>https://cookiepdf-v2-assests.s3.ap-south-1.amazonaws.com/NCT+OF+Delhi/CENTRAL/2+-+BURARI_324/2025-EROLLGEN-U05-2-FinalRoll-Revision1-ENG-142-WI.pdf</t>
  </si>
  <si>
    <t>https://cookiepdf-v2-assests.s3.ap-south-1.amazonaws.com/NCT+OF+Delhi/CENTRAL/2+-+BURARI_324/2025-EROLLGEN-U05-2-FinalRoll-Revision1-ENG-143-WI.pdf</t>
  </si>
  <si>
    <t>https://cookiepdf-v2-assests.s3.ap-south-1.amazonaws.com/NCT+OF+Delhi/CENTRAL/2+-+BURARI_324/2025-EROLLGEN-U05-2-FinalRoll-Revision1-ENG-144-WI.pdf</t>
  </si>
  <si>
    <t>https://cookiepdf-v2-assests.s3.ap-south-1.amazonaws.com/NCT+OF+Delhi/CENTRAL/2+-+BURARI_324/2025-EROLLGEN-U05-2-FinalRoll-Revision1-ENG-145-WI.pdf</t>
  </si>
  <si>
    <t>https://cookiepdf-v2-assests.s3.ap-south-1.amazonaws.com/NCT+OF+Delhi/CENTRAL/2+-+BURARI_324/2025-EROLLGEN-U05-2-FinalRoll-Revision1-ENG-146-WI.pdf</t>
  </si>
  <si>
    <t>https://cookiepdf-v2-assests.s3.ap-south-1.amazonaws.com/NCT+OF+Delhi/CENTRAL/2+-+BURARI_324/2025-EROLLGEN-U05-2-FinalRoll-Revision1-ENG-147-WI.pdf</t>
  </si>
  <si>
    <t>https://cookiepdf-v2-assests.s3.ap-south-1.amazonaws.com/NCT+OF+Delhi/CENTRAL/2+-+BURARI_324/2025-EROLLGEN-U05-2-FinalRoll-Revision1-ENG-148-WI.pdf</t>
  </si>
  <si>
    <t>https://cookiepdf-v2-assests.s3.ap-south-1.amazonaws.com/NCT+OF+Delhi/CENTRAL/2+-+BURARI_324/2025-EROLLGEN-U05-2-FinalRoll-Revision1-ENG-149-WI.pdf</t>
  </si>
  <si>
    <t>https://cookiepdf-v2-assests.s3.ap-south-1.amazonaws.com/NCT+OF+Delhi/CENTRAL/2+-+BURARI_324/2025-EROLLGEN-U05-2-FinalRoll-Revision1-ENG-150-WI.pdf</t>
  </si>
  <si>
    <t>https://cookiepdf-v2-assests.s3.ap-south-1.amazonaws.com/NCT+OF+Delhi/CENTRAL/2+-+BURARI_324/2025-EROLLGEN-U05-2-FinalRoll-Revision1-ENG-151-WI.pdf</t>
  </si>
  <si>
    <t>https://cookiepdf-v2-assests.s3.ap-south-1.amazonaws.com/NCT+OF+Delhi/CENTRAL/2+-+BURARI_324/2025-EROLLGEN-U05-2-FinalRoll-Revision1-ENG-152-WI.pdf</t>
  </si>
  <si>
    <t>https://cookiepdf-v2-assests.s3.ap-south-1.amazonaws.com/NCT+OF+Delhi/CENTRAL/2+-+BURARI_324/2025-EROLLGEN-U05-2-FinalRoll-Revision1-ENG-153-WI.pdf</t>
  </si>
  <si>
    <t>https://cookiepdf-v2-assests.s3.ap-south-1.amazonaws.com/NCT+OF+Delhi/CENTRAL/2+-+BURARI_324/2025-EROLLGEN-U05-2-FinalRoll-Revision1-ENG-154-WI.pdf</t>
  </si>
  <si>
    <t>https://cookiepdf-v2-assests.s3.ap-south-1.amazonaws.com/NCT+OF+Delhi/CENTRAL/2+-+BURARI_324/2025-EROLLGEN-U05-2-FinalRoll-Revision1-ENG-155-WI.pdf</t>
  </si>
  <si>
    <t>https://cookiepdf-v2-assests.s3.ap-south-1.amazonaws.com/NCT+OF+Delhi/CENTRAL/2+-+BURARI_324/2025-EROLLGEN-U05-2-FinalRoll-Revision1-ENG-156-WI.pdf</t>
  </si>
  <si>
    <t>https://cookiepdf-v2-assests.s3.ap-south-1.amazonaws.com/NCT+OF+Delhi/CENTRAL/2+-+BURARI_324/2025-EROLLGEN-U05-2-FinalRoll-Revision1-ENG-157-WI.pdf</t>
  </si>
  <si>
    <t>https://cookiepdf-v2-assests.s3.ap-south-1.amazonaws.com/NCT+OF+Delhi/CENTRAL/2+-+BURARI_324/2025-EROLLGEN-U05-2-FinalRoll-Revision1-ENG-158-WI.pdf</t>
  </si>
  <si>
    <t>https://cookiepdf-v2-assests.s3.ap-south-1.amazonaws.com/NCT+OF+Delhi/CENTRAL/2+-+BURARI_324/2025-EROLLGEN-U05-2-FinalRoll-Revision1-ENG-159-WI.pdf</t>
  </si>
  <si>
    <t>https://cookiepdf-v2-assests.s3.ap-south-1.amazonaws.com/NCT+OF+Delhi/CENTRAL/2+-+BURARI_324/2025-EROLLGEN-U05-2-FinalRoll-Revision1-ENG-160-WI.pdf</t>
  </si>
  <si>
    <t>https://cookiepdf-v2-assests.s3.ap-south-1.amazonaws.com/NCT+OF+Delhi/CENTRAL/2+-+BURARI_324/2025-EROLLGEN-U05-2-FinalRoll-Revision1-ENG-161-WI.pdf</t>
  </si>
  <si>
    <t>https://cookiepdf-v2-assests.s3.ap-south-1.amazonaws.com/NCT+OF+Delhi/CENTRAL/2+-+BURARI_324/2025-EROLLGEN-U05-2-FinalRoll-Revision1-ENG-162-WI.pdf</t>
  </si>
  <si>
    <t>https://cookiepdf-v2-assests.s3.ap-south-1.amazonaws.com/NCT+OF+Delhi/CENTRAL/2+-+BURARI_324/2025-EROLLGEN-U05-2-FinalRoll-Revision1-ENG-163-WI.pdf</t>
  </si>
  <si>
    <t>https://cookiepdf-v2-assests.s3.ap-south-1.amazonaws.com/NCT+OF+Delhi/CENTRAL/2+-+BURARI_324/2025-EROLLGEN-U05-2-FinalRoll-Revision1-ENG-164-WI.pdf</t>
  </si>
  <si>
    <t>https://cookiepdf-v2-assests.s3.ap-south-1.amazonaws.com/NCT+OF+Delhi/CENTRAL/2+-+BURARI_324/2025-EROLLGEN-U05-2-FinalRoll-Revision1-ENG-165-WI.pdf</t>
  </si>
  <si>
    <t>https://cookiepdf-v2-assests.s3.ap-south-1.amazonaws.com/NCT+OF+Delhi/CENTRAL/2+-+BURARI_324/2025-EROLLGEN-U05-2-FinalRoll-Revision1-ENG-166-WI.pdf</t>
  </si>
  <si>
    <t>https://cookiepdf-v2-assests.s3.ap-south-1.amazonaws.com/NCT+OF+Delhi/CENTRAL/2+-+BURARI_324/2025-EROLLGEN-U05-2-FinalRoll-Revision1-ENG-167-WI.pdf</t>
  </si>
  <si>
    <t>https://cookiepdf-v2-assests.s3.ap-south-1.amazonaws.com/NCT+OF+Delhi/CENTRAL/2+-+BURARI_324/2025-EROLLGEN-U05-2-FinalRoll-Revision1-ENG-168-WI.pdf</t>
  </si>
  <si>
    <t>https://cookiepdf-v2-assests.s3.ap-south-1.amazonaws.com/NCT+OF+Delhi/CENTRAL/2+-+BURARI_324/2025-EROLLGEN-U05-2-FinalRoll-Revision1-ENG-169-WI.pdf</t>
  </si>
  <si>
    <t>https://cookiepdf-v2-assests.s3.ap-south-1.amazonaws.com/NCT+OF+Delhi/CENTRAL/2+-+BURARI_324/2025-EROLLGEN-U05-2-FinalRoll-Revision1-ENG-170-WI.pdf</t>
  </si>
  <si>
    <t>https://cookiepdf-v2-assests.s3.ap-south-1.amazonaws.com/NCT+OF+Delhi/CENTRAL/2+-+BURARI_324/2025-EROLLGEN-U05-2-FinalRoll-Revision1-ENG-171-WI.pdf</t>
  </si>
  <si>
    <t>https://cookiepdf-v2-assests.s3.ap-south-1.amazonaws.com/NCT+OF+Delhi/CENTRAL/2+-+BURARI_324/2025-EROLLGEN-U05-2-FinalRoll-Revision1-ENG-172-WI.pdf</t>
  </si>
  <si>
    <t>https://cookiepdf-v2-assests.s3.ap-south-1.amazonaws.com/NCT+OF+Delhi/CENTRAL/2+-+BURARI_324/2025-EROLLGEN-U05-2-FinalRoll-Revision1-ENG-173-WI.pdf</t>
  </si>
  <si>
    <t>https://cookiepdf-v2-assests.s3.ap-south-1.amazonaws.com/NCT+OF+Delhi/CENTRAL/2+-+BURARI_324/2025-EROLLGEN-U05-2-FinalRoll-Revision1-ENG-174-WI.pdf</t>
  </si>
  <si>
    <t>https://cookiepdf-v2-assests.s3.ap-south-1.amazonaws.com/NCT+OF+Delhi/CENTRAL/2+-+BURARI_324/2025-EROLLGEN-U05-2-FinalRoll-Revision1-ENG-175-WI.pdf</t>
  </si>
  <si>
    <t>https://cookiepdf-v2-assests.s3.ap-south-1.amazonaws.com/NCT+OF+Delhi/CENTRAL/2+-+BURARI_324/2025-EROLLGEN-U05-2-FinalRoll-Revision1-ENG-176-WI.pdf</t>
  </si>
  <si>
    <t>https://cookiepdf-v2-assests.s3.ap-south-1.amazonaws.com/NCT+OF+Delhi/CENTRAL/2+-+BURARI_324/2025-EROLLGEN-U05-2-FinalRoll-Revision1-ENG-177-WI.pdf</t>
  </si>
  <si>
    <t>https://cookiepdf-v2-assests.s3.ap-south-1.amazonaws.com/NCT+OF+Delhi/CENTRAL/2+-+BURARI_324/2025-EROLLGEN-U05-2-FinalRoll-Revision1-ENG-178-WI.pdf</t>
  </si>
  <si>
    <t>https://cookiepdf-v2-assests.s3.ap-south-1.amazonaws.com/NCT+OF+Delhi/CENTRAL/2+-+BURARI_324/2025-EROLLGEN-U05-2-FinalRoll-Revision1-ENG-179-WI.pdf</t>
  </si>
  <si>
    <t>https://cookiepdf-v2-assests.s3.ap-south-1.amazonaws.com/NCT+OF+Delhi/CENTRAL/2+-+BURARI_324/2025-EROLLGEN-U05-2-FinalRoll-Revision1-ENG-180-WI.pdf</t>
  </si>
  <si>
    <t>https://cookiepdf-v2-assests.s3.ap-south-1.amazonaws.com/NCT+OF+Delhi/CENTRAL/2+-+BURARI_324/2025-EROLLGEN-U05-2-FinalRoll-Revision1-ENG-181-WI.pdf</t>
  </si>
  <si>
    <t>https://cookiepdf-v2-assests.s3.ap-south-1.amazonaws.com/NCT+OF+Delhi/CENTRAL/2+-+BURARI_324/2025-EROLLGEN-U05-2-FinalRoll-Revision1-ENG-182-WI.pdf</t>
  </si>
  <si>
    <t>https://cookiepdf-v2-assests.s3.ap-south-1.amazonaws.com/NCT+OF+Delhi/CENTRAL/2+-+BURARI_324/2025-EROLLGEN-U05-2-FinalRoll-Revision1-ENG-183-WI.pdf</t>
  </si>
  <si>
    <t>https://cookiepdf-v2-assests.s3.ap-south-1.amazonaws.com/NCT+OF+Delhi/CENTRAL/2+-+BURARI_324/2025-EROLLGEN-U05-2-FinalRoll-Revision1-ENG-184-WI.pdf</t>
  </si>
  <si>
    <t>https://cookiepdf-v2-assests.s3.ap-south-1.amazonaws.com/NCT+OF+Delhi/CENTRAL/2+-+BURARI_324/2025-EROLLGEN-U05-2-FinalRoll-Revision1-ENG-185-WI.pdf</t>
  </si>
  <si>
    <t>https://cookiepdf-v2-assests.s3.ap-south-1.amazonaws.com/NCT+OF+Delhi/CENTRAL/2+-+BURARI_324/2025-EROLLGEN-U05-2-FinalRoll-Revision1-ENG-186-WI.pdf</t>
  </si>
  <si>
    <t>https://cookiepdf-v2-assests.s3.ap-south-1.amazonaws.com/NCT+OF+Delhi/CENTRAL/2+-+BURARI_324/2025-EROLLGEN-U05-2-FinalRoll-Revision1-ENG-187-WI.pdf</t>
  </si>
  <si>
    <t>https://cookiepdf-v2-assests.s3.ap-south-1.amazonaws.com/NCT+OF+Delhi/CENTRAL/2+-+BURARI_324/2025-EROLLGEN-U05-2-FinalRoll-Revision1-ENG-188-WI.pdf</t>
  </si>
  <si>
    <t>https://cookiepdf-v2-assests.s3.ap-south-1.amazonaws.com/NCT+OF+Delhi/CENTRAL/2+-+BURARI_324/2025-EROLLGEN-U05-2-FinalRoll-Revision1-ENG-189-WI.pdf</t>
  </si>
  <si>
    <t>https://cookiepdf-v2-assests.s3.ap-south-1.amazonaws.com/NCT+OF+Delhi/CENTRAL/2+-+BURARI_324/2025-EROLLGEN-U05-2-FinalRoll-Revision1-ENG-190-WI.pdf</t>
  </si>
  <si>
    <t>https://cookiepdf-v2-assests.s3.ap-south-1.amazonaws.com/NCT+OF+Delhi/CENTRAL/2+-+BURARI_324/2025-EROLLGEN-U05-2-FinalRoll-Revision1-ENG-191-WI.pdf</t>
  </si>
  <si>
    <t>https://cookiepdf-v2-assests.s3.ap-south-1.amazonaws.com/NCT+OF+Delhi/CENTRAL/2+-+BURARI_324/2025-EROLLGEN-U05-2-FinalRoll-Revision1-ENG-192-WI.pdf</t>
  </si>
  <si>
    <t>https://cookiepdf-v2-assests.s3.ap-south-1.amazonaws.com/NCT+OF+Delhi/CENTRAL/2+-+BURARI_324/2025-EROLLGEN-U05-2-FinalRoll-Revision1-ENG-193-WI.pdf</t>
  </si>
  <si>
    <t>https://cookiepdf-v2-assests.s3.ap-south-1.amazonaws.com/NCT+OF+Delhi/CENTRAL/2+-+BURARI_324/2025-EROLLGEN-U05-2-FinalRoll-Revision1-ENG-194-WI.pdf</t>
  </si>
  <si>
    <t>https://cookiepdf-v2-assests.s3.ap-south-1.amazonaws.com/NCT+OF+Delhi/CENTRAL/2+-+BURARI_324/2025-EROLLGEN-U05-2-FinalRoll-Revision1-ENG-195-WI.pdf</t>
  </si>
  <si>
    <t>https://cookiepdf-v2-assests.s3.ap-south-1.amazonaws.com/NCT+OF+Delhi/CENTRAL/2+-+BURARI_324/2025-EROLLGEN-U05-2-FinalRoll-Revision1-ENG-196-WI.pdf</t>
  </si>
  <si>
    <t>https://cookiepdf-v2-assests.s3.ap-south-1.amazonaws.com/NCT+OF+Delhi/CENTRAL/2+-+BURARI_324/2025-EROLLGEN-U05-2-FinalRoll-Revision1-ENG-197-WI.pdf</t>
  </si>
  <si>
    <t>https://cookiepdf-v2-assests.s3.ap-south-1.amazonaws.com/NCT+OF+Delhi/CENTRAL/2+-+BURARI_324/2025-EROLLGEN-U05-2-FinalRoll-Revision1-ENG-198-WI.pdf</t>
  </si>
  <si>
    <t>https://cookiepdf-v2-assests.s3.ap-south-1.amazonaws.com/NCT+OF+Delhi/CENTRAL/2+-+BURARI_324/2025-EROLLGEN-U05-2-FinalRoll-Revision1-ENG-199-WI.pdf</t>
  </si>
  <si>
    <t>https://cookiepdf-v2-assests.s3.ap-south-1.amazonaws.com/NCT+OF+Delhi/CENTRAL/2+-+BURARI_324/2025-EROLLGEN-U05-2-FinalRoll-Revision1-ENG-200-WI.pdf</t>
  </si>
  <si>
    <t>https://cookiepdf-v2-assests.s3.ap-south-1.amazonaws.com/NCT+OF+Delhi/CENTRAL/2+-+BURARI_324/2025-EROLLGEN-U05-2-FinalRoll-Revision1-ENG-201-WI.pdf</t>
  </si>
  <si>
    <t>https://cookiepdf-v2-assests.s3.ap-south-1.amazonaws.com/NCT+OF+Delhi/CENTRAL/2+-+BURARI_324/2025-EROLLGEN-U05-2-FinalRoll-Revision1-ENG-202-WI.pdf</t>
  </si>
  <si>
    <t>https://cookiepdf-v2-assests.s3.ap-south-1.amazonaws.com/NCT+OF+Delhi/CENTRAL/2+-+BURARI_324/2025-EROLLGEN-U05-2-FinalRoll-Revision1-ENG-203-WI.pdf</t>
  </si>
  <si>
    <t>https://cookiepdf-v2-assests.s3.ap-south-1.amazonaws.com/NCT+OF+Delhi/CENTRAL/2+-+BURARI_324/2025-EROLLGEN-U05-2-FinalRoll-Revision1-ENG-204-WI.pdf</t>
  </si>
  <si>
    <t>https://cookiepdf-v2-assests.s3.ap-south-1.amazonaws.com/NCT+OF+Delhi/CENTRAL/2+-+BURARI_324/2025-EROLLGEN-U05-2-FinalRoll-Revision1-ENG-205-WI.pdf</t>
  </si>
  <si>
    <t>https://cookiepdf-v2-assests.s3.ap-south-1.amazonaws.com/NCT+OF+Delhi/CENTRAL/2+-+BURARI_324/2025-EROLLGEN-U05-2-FinalRoll-Revision1-ENG-206-WI.pdf</t>
  </si>
  <si>
    <t>https://cookiepdf-v2-assests.s3.ap-south-1.amazonaws.com/NCT+OF+Delhi/CENTRAL/2+-+BURARI_324/2025-EROLLGEN-U05-2-FinalRoll-Revision1-ENG-207-WI.pdf</t>
  </si>
  <si>
    <t>https://cookiepdf-v2-assests.s3.ap-south-1.amazonaws.com/NCT+OF+Delhi/CENTRAL/2+-+BURARI_324/2025-EROLLGEN-U05-2-FinalRoll-Revision1-ENG-208-WI.pdf</t>
  </si>
  <si>
    <t>https://cookiepdf-v2-assests.s3.ap-south-1.amazonaws.com/NCT+OF+Delhi/CENTRAL/2+-+BURARI_324/2025-EROLLGEN-U05-2-FinalRoll-Revision1-ENG-209-WI.pdf</t>
  </si>
  <si>
    <t>https://cookiepdf-v2-assests.s3.ap-south-1.amazonaws.com/NCT+OF+Delhi/CENTRAL/2+-+BURARI_324/2025-EROLLGEN-U05-2-FinalRoll-Revision1-ENG-210-WI.pdf</t>
  </si>
  <si>
    <t>https://cookiepdf-v2-assests.s3.ap-south-1.amazonaws.com/NCT+OF+Delhi/CENTRAL/2+-+BURARI_324/2025-EROLLGEN-U05-2-FinalRoll-Revision1-ENG-211-WI.pdf</t>
  </si>
  <si>
    <t>https://cookiepdf-v2-assests.s3.ap-south-1.amazonaws.com/NCT+OF+Delhi/CENTRAL/2+-+BURARI_324/2025-EROLLGEN-U05-2-FinalRoll-Revision1-ENG-212-WI.pdf</t>
  </si>
  <si>
    <t>https://cookiepdf-v2-assests.s3.ap-south-1.amazonaws.com/NCT+OF+Delhi/CENTRAL/2+-+BURARI_324/2025-EROLLGEN-U05-2-FinalRoll-Revision1-ENG-213-WI.pdf</t>
  </si>
  <si>
    <t>https://cookiepdf-v2-assests.s3.ap-south-1.amazonaws.com/NCT+OF+Delhi/CENTRAL/2+-+BURARI_324/2025-EROLLGEN-U05-2-FinalRoll-Revision1-ENG-214-WI.pdf</t>
  </si>
  <si>
    <t>https://cookiepdf-v2-assests.s3.ap-south-1.amazonaws.com/NCT+OF+Delhi/CENTRAL/2+-+BURARI_324/2025-EROLLGEN-U05-2-FinalRoll-Revision1-ENG-215-WI.pdf</t>
  </si>
  <si>
    <t>https://cookiepdf-v2-assests.s3.ap-south-1.amazonaws.com/NCT+OF+Delhi/CENTRAL/2+-+BURARI_324/2025-EROLLGEN-U05-2-FinalRoll-Revision1-ENG-216-WI.pdf</t>
  </si>
  <si>
    <t>https://cookiepdf-v2-assests.s3.ap-south-1.amazonaws.com/NCT+OF+Delhi/CENTRAL/2+-+BURARI_324/2025-EROLLGEN-U05-2-FinalRoll-Revision1-ENG-217-WI.pdf</t>
  </si>
  <si>
    <t>https://cookiepdf-v2-assests.s3.ap-south-1.amazonaws.com/NCT+OF+Delhi/CENTRAL/2+-+BURARI_324/2025-EROLLGEN-U05-2-FinalRoll-Revision1-ENG-218-WI.pdf</t>
  </si>
  <si>
    <t>https://cookiepdf-v2-assests.s3.ap-south-1.amazonaws.com/NCT+OF+Delhi/CENTRAL/2+-+BURARI_324/2025-EROLLGEN-U05-2-FinalRoll-Revision1-ENG-219-WI.pdf</t>
  </si>
  <si>
    <t>https://cookiepdf-v2-assests.s3.ap-south-1.amazonaws.com/NCT+OF+Delhi/CENTRAL/2+-+BURARI_324/2025-EROLLGEN-U05-2-FinalRoll-Revision1-ENG-220-WI.pdf</t>
  </si>
  <si>
    <t>https://cookiepdf-v2-assests.s3.ap-south-1.amazonaws.com/NCT+OF+Delhi/CENTRAL/2+-+BURARI_324/2025-EROLLGEN-U05-2-FinalRoll-Revision1-ENG-221-WI.pdf</t>
  </si>
  <si>
    <t>https://cookiepdf-v2-assests.s3.ap-south-1.amazonaws.com/NCT+OF+Delhi/CENTRAL/2+-+BURARI_324/2025-EROLLGEN-U05-2-FinalRoll-Revision1-ENG-222-WI.pdf</t>
  </si>
  <si>
    <t>https://cookiepdf-v2-assests.s3.ap-south-1.amazonaws.com/NCT+OF+Delhi/CENTRAL/2+-+BURARI_324/2025-EROLLGEN-U05-2-FinalRoll-Revision1-ENG-223-WI.pdf</t>
  </si>
  <si>
    <t>https://cookiepdf-v2-assests.s3.ap-south-1.amazonaws.com/NCT+OF+Delhi/CENTRAL/2+-+BURARI_324/2025-EROLLGEN-U05-2-FinalRoll-Revision1-ENG-224-WI.pdf</t>
  </si>
  <si>
    <t>https://cookiepdf-v2-assests.s3.ap-south-1.amazonaws.com/NCT+OF+Delhi/CENTRAL/2+-+BURARI_324/2025-EROLLGEN-U05-2-FinalRoll-Revision1-ENG-225-WI.pdf</t>
  </si>
  <si>
    <t>https://cookiepdf-v2-assests.s3.ap-south-1.amazonaws.com/NCT+OF+Delhi/CENTRAL/2+-+BURARI_324/2025-EROLLGEN-U05-2-FinalRoll-Revision1-ENG-226-WI.pdf</t>
  </si>
  <si>
    <t>https://cookiepdf-v2-assests.s3.ap-south-1.amazonaws.com/NCT+OF+Delhi/CENTRAL/2+-+BURARI_324/2025-EROLLGEN-U05-2-FinalRoll-Revision1-ENG-227-WI.pdf</t>
  </si>
  <si>
    <t>https://cookiepdf-v2-assests.s3.ap-south-1.amazonaws.com/NCT+OF+Delhi/CENTRAL/2+-+BURARI_324/2025-EROLLGEN-U05-2-FinalRoll-Revision1-ENG-228-WI.pdf</t>
  </si>
  <si>
    <t>https://cookiepdf-v2-assests.s3.ap-south-1.amazonaws.com/NCT+OF+Delhi/CENTRAL/2+-+BURARI_324/2025-EROLLGEN-U05-2-FinalRoll-Revision1-ENG-229-WI.pdf</t>
  </si>
  <si>
    <t>https://cookiepdf-v2-assests.s3.ap-south-1.amazonaws.com/NCT+OF+Delhi/CENTRAL/2+-+BURARI_324/2025-EROLLGEN-U05-2-FinalRoll-Revision1-ENG-230-WI.pdf</t>
  </si>
  <si>
    <t>https://cookiepdf-v2-assests.s3.ap-south-1.amazonaws.com/NCT+OF+Delhi/CENTRAL/2+-+BURARI_324/2025-EROLLGEN-U05-2-FinalRoll-Revision1-ENG-231-WI.pdf</t>
  </si>
  <si>
    <t>https://cookiepdf-v2-assests.s3.ap-south-1.amazonaws.com/NCT+OF+Delhi/CENTRAL/2+-+BURARI_324/2025-EROLLGEN-U05-2-FinalRoll-Revision1-ENG-232-WI.pdf</t>
  </si>
  <si>
    <t>https://cookiepdf-v2-assests.s3.ap-south-1.amazonaws.com/NCT+OF+Delhi/CENTRAL/2+-+BURARI_324/2025-EROLLGEN-U05-2-FinalRoll-Revision1-ENG-233-WI.pdf</t>
  </si>
  <si>
    <t>https://cookiepdf-v2-assests.s3.ap-south-1.amazonaws.com/NCT+OF+Delhi/CENTRAL/2+-+BURARI_324/2025-EROLLGEN-U05-2-FinalRoll-Revision1-ENG-234-WI.pdf</t>
  </si>
  <si>
    <t>https://cookiepdf-v2-assests.s3.ap-south-1.amazonaws.com/NCT+OF+Delhi/CENTRAL/2+-+BURARI_324/2025-EROLLGEN-U05-2-FinalRoll-Revision1-ENG-235-WI.pdf</t>
  </si>
  <si>
    <t>https://cookiepdf-v2-assests.s3.ap-south-1.amazonaws.com/NCT+OF+Delhi/CENTRAL/2+-+BURARI_324/2025-EROLLGEN-U05-2-FinalRoll-Revision1-ENG-236-WI.pdf</t>
  </si>
  <si>
    <t>https://cookiepdf-v2-assests.s3.ap-south-1.amazonaws.com/NCT+OF+Delhi/CENTRAL/2+-+BURARI_324/2025-EROLLGEN-U05-2-FinalRoll-Revision1-ENG-237-WI.pdf</t>
  </si>
  <si>
    <t>https://cookiepdf-v2-assests.s3.ap-south-1.amazonaws.com/NCT+OF+Delhi/CENTRAL/2+-+BURARI_324/2025-EROLLGEN-U05-2-FinalRoll-Revision1-ENG-238-WI.pdf</t>
  </si>
  <si>
    <t>https://cookiepdf-v2-assests.s3.ap-south-1.amazonaws.com/NCT+OF+Delhi/CENTRAL/2+-+BURARI_324/2025-EROLLGEN-U05-2-FinalRoll-Revision1-ENG-239-WI.pdf</t>
  </si>
  <si>
    <t>https://cookiepdf-v2-assests.s3.ap-south-1.amazonaws.com/NCT+OF+Delhi/CENTRAL/2+-+BURARI_324/2025-EROLLGEN-U05-2-FinalRoll-Revision1-ENG-240-WI.pdf</t>
  </si>
  <si>
    <t>https://cookiepdf-v2-assests.s3.ap-south-1.amazonaws.com/NCT+OF+Delhi/CENTRAL/2+-+BURARI_324/2025-EROLLGEN-U05-2-FinalRoll-Revision1-ENG-241-WI.pdf</t>
  </si>
  <si>
    <t>https://cookiepdf-v2-assests.s3.ap-south-1.amazonaws.com/NCT+OF+Delhi/CENTRAL/2+-+BURARI_324/2025-EROLLGEN-U05-2-FinalRoll-Revision1-ENG-242-WI.pdf</t>
  </si>
  <si>
    <t>https://cookiepdf-v2-assests.s3.ap-south-1.amazonaws.com/NCT+OF+Delhi/CENTRAL/2+-+BURARI_324/2025-EROLLGEN-U05-2-FinalRoll-Revision1-ENG-243-WI.pdf</t>
  </si>
  <si>
    <t>https://cookiepdf-v2-assests.s3.ap-south-1.amazonaws.com/NCT+OF+Delhi/CENTRAL/2+-+BURARI_324/2025-EROLLGEN-U05-2-FinalRoll-Revision1-ENG-244-WI.pdf</t>
  </si>
  <si>
    <t>https://cookiepdf-v2-assests.s3.ap-south-1.amazonaws.com/NCT+OF+Delhi/CENTRAL/2+-+BURARI_324/2025-EROLLGEN-U05-2-FinalRoll-Revision1-ENG-245-WI.pdf</t>
  </si>
  <si>
    <t>https://cookiepdf-v2-assests.s3.ap-south-1.amazonaws.com/NCT+OF+Delhi/CENTRAL/2+-+BURARI_324/2025-EROLLGEN-U05-2-FinalRoll-Revision1-ENG-246-WI.pdf</t>
  </si>
  <si>
    <t>https://cookiepdf-v2-assests.s3.ap-south-1.amazonaws.com/NCT+OF+Delhi/CENTRAL/2+-+BURARI_324/2025-EROLLGEN-U05-2-FinalRoll-Revision1-ENG-247-WI.pdf</t>
  </si>
  <si>
    <t>https://cookiepdf-v2-assests.s3.ap-south-1.amazonaws.com/NCT+OF+Delhi/CENTRAL/2+-+BURARI_324/2025-EROLLGEN-U05-2-FinalRoll-Revision1-ENG-248-WI.pdf</t>
  </si>
  <si>
    <t>https://cookiepdf-v2-assests.s3.ap-south-1.amazonaws.com/NCT+OF+Delhi/CENTRAL/2+-+BURARI_324/2025-EROLLGEN-U05-2-FinalRoll-Revision1-ENG-249-WI.pdf</t>
  </si>
  <si>
    <t>https://cookiepdf-v2-assests.s3.ap-south-1.amazonaws.com/NCT+OF+Delhi/CENTRAL/2+-+BURARI_324/2025-EROLLGEN-U05-2-FinalRoll-Revision1-ENG-250-WI.pdf</t>
  </si>
  <si>
    <t>https://cookiepdf-v2-assests.s3.ap-south-1.amazonaws.com/NCT+OF+Delhi/CENTRAL/2+-+BURARI_324/2025-EROLLGEN-U05-2-FinalRoll-Revision1-ENG-251-WI.pdf</t>
  </si>
  <si>
    <t>https://cookiepdf-v2-assests.s3.ap-south-1.amazonaws.com/NCT+OF+Delhi/CENTRAL/2+-+BURARI_324/2025-EROLLGEN-U05-2-FinalRoll-Revision1-ENG-252-WI.pdf</t>
  </si>
  <si>
    <t>https://cookiepdf-v2-assests.s3.ap-south-1.amazonaws.com/NCT+OF+Delhi/CENTRAL/2+-+BURARI_324/2025-EROLLGEN-U05-2-FinalRoll-Revision1-ENG-253-WI.pdf</t>
  </si>
  <si>
    <t>https://cookiepdf-v2-assests.s3.ap-south-1.amazonaws.com/NCT+OF+Delhi/CENTRAL/2+-+BURARI_324/2025-EROLLGEN-U05-2-FinalRoll-Revision1-ENG-254-WI.pdf</t>
  </si>
  <si>
    <t>https://cookiepdf-v2-assests.s3.ap-south-1.amazonaws.com/NCT+OF+Delhi/CENTRAL/2+-+BURARI_324/2025-EROLLGEN-U05-2-FinalRoll-Revision1-ENG-255-WI.pdf</t>
  </si>
  <si>
    <t>https://cookiepdf-v2-assests.s3.ap-south-1.amazonaws.com/NCT+OF+Delhi/CENTRAL/2+-+BURARI_324/2025-EROLLGEN-U05-2-FinalRoll-Revision1-ENG-256-WI.pdf</t>
  </si>
  <si>
    <t>https://cookiepdf-v2-assests.s3.ap-south-1.amazonaws.com/NCT+OF+Delhi/CENTRAL/2+-+BURARI_324/2025-EROLLGEN-U05-2-FinalRoll-Revision1-ENG-257-WI.pdf</t>
  </si>
  <si>
    <t>https://cookiepdf-v2-assests.s3.ap-south-1.amazonaws.com/NCT+OF+Delhi/CENTRAL/2+-+BURARI_324/2025-EROLLGEN-U05-2-FinalRoll-Revision1-ENG-258-WI.pdf</t>
  </si>
  <si>
    <t>https://cookiepdf-v2-assests.s3.ap-south-1.amazonaws.com/NCT+OF+Delhi/CENTRAL/2+-+BURARI_324/2025-EROLLGEN-U05-2-FinalRoll-Revision1-ENG-259-WI.pdf</t>
  </si>
  <si>
    <t>https://cookiepdf-v2-assests.s3.ap-south-1.amazonaws.com/NCT+OF+Delhi/CENTRAL/2+-+BURARI_324/2025-EROLLGEN-U05-2-FinalRoll-Revision1-ENG-260-WI.pdf</t>
  </si>
  <si>
    <t>https://cookiepdf-v2-assests.s3.ap-south-1.amazonaws.com/NCT+OF+Delhi/CENTRAL/2+-+BURARI_324/2025-EROLLGEN-U05-2-FinalRoll-Revision1-ENG-261-WI.pdf</t>
  </si>
  <si>
    <t>https://cookiepdf-v2-assests.s3.ap-south-1.amazonaws.com/NCT+OF+Delhi/CENTRAL/2+-+BURARI_324/2025-EROLLGEN-U05-2-FinalRoll-Revision1-ENG-262-WI.pdf</t>
  </si>
  <si>
    <t>https://cookiepdf-v2-assests.s3.ap-south-1.amazonaws.com/NCT+OF+Delhi/CENTRAL/2+-+BURARI_324/2025-EROLLGEN-U05-2-FinalRoll-Revision1-ENG-263-WI.pdf</t>
  </si>
  <si>
    <t>https://cookiepdf-v2-assests.s3.ap-south-1.amazonaws.com/NCT+OF+Delhi/CENTRAL/2+-+BURARI_324/2025-EROLLGEN-U05-2-FinalRoll-Revision1-ENG-264-WI.pdf</t>
  </si>
  <si>
    <t>https://cookiepdf-v2-assests.s3.ap-south-1.amazonaws.com/NCT+OF+Delhi/CENTRAL/2+-+BURARI_324/2025-EROLLGEN-U05-2-FinalRoll-Revision1-ENG-265-WI.pdf</t>
  </si>
  <si>
    <t>https://cookiepdf-v2-assests.s3.ap-south-1.amazonaws.com/NCT+OF+Delhi/CENTRAL/2+-+BURARI_324/2025-EROLLGEN-U05-2-FinalRoll-Revision1-ENG-266-WI.pdf</t>
  </si>
  <si>
    <t>https://cookiepdf-v2-assests.s3.ap-south-1.amazonaws.com/NCT+OF+Delhi/CENTRAL/2+-+BURARI_324/2025-EROLLGEN-U05-2-FinalRoll-Revision1-ENG-267-WI.pdf</t>
  </si>
  <si>
    <t>https://cookiepdf-v2-assests.s3.ap-south-1.amazonaws.com/NCT+OF+Delhi/CENTRAL/2+-+BURARI_324/2025-EROLLGEN-U05-2-FinalRoll-Revision1-ENG-268-WI.pdf</t>
  </si>
  <si>
    <t>https://cookiepdf-v2-assests.s3.ap-south-1.amazonaws.com/NCT+OF+Delhi/CENTRAL/2+-+BURARI_324/2025-EROLLGEN-U05-2-FinalRoll-Revision1-ENG-269-WI.pdf</t>
  </si>
  <si>
    <t>https://cookiepdf-v2-assests.s3.ap-south-1.amazonaws.com/NCT+OF+Delhi/CENTRAL/2+-+BURARI_324/2025-EROLLGEN-U05-2-FinalRoll-Revision1-ENG-270-WI.pdf</t>
  </si>
  <si>
    <t>https://cookiepdf-v2-assests.s3.ap-south-1.amazonaws.com/NCT+OF+Delhi/CENTRAL/2+-+BURARI_324/2025-EROLLGEN-U05-2-FinalRoll-Revision1-ENG-271-WI.pdf</t>
  </si>
  <si>
    <t>https://cookiepdf-v2-assests.s3.ap-south-1.amazonaws.com/NCT+OF+Delhi/CENTRAL/2+-+BURARI_324/2025-EROLLGEN-U05-2-FinalRoll-Revision1-ENG-272-WI.pdf</t>
  </si>
  <si>
    <t>https://cookiepdf-v2-assests.s3.ap-south-1.amazonaws.com/NCT+OF+Delhi/CENTRAL/2+-+BURARI_324/2025-EROLLGEN-U05-2-FinalRoll-Revision1-ENG-273-WI.pdf</t>
  </si>
  <si>
    <t>https://cookiepdf-v2-assests.s3.ap-south-1.amazonaws.com/NCT+OF+Delhi/CENTRAL/2+-+BURARI_324/2025-EROLLGEN-U05-2-FinalRoll-Revision1-ENG-274-WI.pdf</t>
  </si>
  <si>
    <t>https://cookiepdf-v2-assests.s3.ap-south-1.amazonaws.com/NCT+OF+Delhi/CENTRAL/2+-+BURARI_324/2025-EROLLGEN-U05-2-FinalRoll-Revision1-ENG-275-WI.pdf</t>
  </si>
  <si>
    <t>https://cookiepdf-v2-assests.s3.ap-south-1.amazonaws.com/NCT+OF+Delhi/CENTRAL/2+-+BURARI_324/2025-EROLLGEN-U05-2-FinalRoll-Revision1-ENG-276-WI.pdf</t>
  </si>
  <si>
    <t>https://cookiepdf-v2-assests.s3.ap-south-1.amazonaws.com/NCT+OF+Delhi/CENTRAL/2+-+BURARI_324/2025-EROLLGEN-U05-2-FinalRoll-Revision1-ENG-277-WI.pdf</t>
  </si>
  <si>
    <t>https://cookiepdf-v2-assests.s3.ap-south-1.amazonaws.com/NCT+OF+Delhi/CENTRAL/2+-+BURARI_324/2025-EROLLGEN-U05-2-FinalRoll-Revision1-ENG-278-WI.pdf</t>
  </si>
  <si>
    <t>https://cookiepdf-v2-assests.s3.ap-south-1.amazonaws.com/NCT+OF+Delhi/CENTRAL/2+-+BURARI_324/2025-EROLLGEN-U05-2-FinalRoll-Revision1-ENG-279-WI.pdf</t>
  </si>
  <si>
    <t>https://cookiepdf-v2-assests.s3.ap-south-1.amazonaws.com/NCT+OF+Delhi/CENTRAL/2+-+BURARI_324/2025-EROLLGEN-U05-2-FinalRoll-Revision1-ENG-280-WI.pdf</t>
  </si>
  <si>
    <t>https://cookiepdf-v2-assests.s3.ap-south-1.amazonaws.com/NCT+OF+Delhi/CENTRAL/2+-+BURARI_324/2025-EROLLGEN-U05-2-FinalRoll-Revision1-ENG-281-WI.pdf</t>
  </si>
  <si>
    <t>https://cookiepdf-v2-assests.s3.ap-south-1.amazonaws.com/NCT+OF+Delhi/CENTRAL/2+-+BURARI_324/2025-EROLLGEN-U05-2-FinalRoll-Revision1-ENG-282-WI.pdf</t>
  </si>
  <si>
    <t>https://cookiepdf-v2-assests.s3.ap-south-1.amazonaws.com/NCT+OF+Delhi/CENTRAL/2+-+BURARI_324/2025-EROLLGEN-U05-2-FinalRoll-Revision1-ENG-283-WI.pdf</t>
  </si>
  <si>
    <t>https://cookiepdf-v2-assests.s3.ap-south-1.amazonaws.com/NCT+OF+Delhi/CENTRAL/2+-+BURARI_324/2025-EROLLGEN-U05-2-FinalRoll-Revision1-ENG-284-WI.pdf</t>
  </si>
  <si>
    <t>https://cookiepdf-v2-assests.s3.ap-south-1.amazonaws.com/NCT+OF+Delhi/CENTRAL/2+-+BURARI_324/2025-EROLLGEN-U05-2-FinalRoll-Revision1-ENG-285-WI.pdf</t>
  </si>
  <si>
    <t>https://cookiepdf-v2-assests.s3.ap-south-1.amazonaws.com/NCT+OF+Delhi/CENTRAL/2+-+BURARI_324/2025-EROLLGEN-U05-2-FinalRoll-Revision1-ENG-286-WI.pdf</t>
  </si>
  <si>
    <t>https://cookiepdf-v2-assests.s3.ap-south-1.amazonaws.com/NCT+OF+Delhi/CENTRAL/2+-+BURARI_324/2025-EROLLGEN-U05-2-FinalRoll-Revision1-ENG-287-WI.pdf</t>
  </si>
  <si>
    <t>https://cookiepdf-v2-assests.s3.ap-south-1.amazonaws.com/NCT+OF+Delhi/CENTRAL/2+-+BURARI_324/2025-EROLLGEN-U05-2-FinalRoll-Revision1-ENG-288-WI.pdf</t>
  </si>
  <si>
    <t>https://cookiepdf-v2-assests.s3.ap-south-1.amazonaws.com/NCT+OF+Delhi/CENTRAL/2+-+BURARI_324/2025-EROLLGEN-U05-2-FinalRoll-Revision1-ENG-289-WI.pdf</t>
  </si>
  <si>
    <t>https://cookiepdf-v2-assests.s3.ap-south-1.amazonaws.com/NCT+OF+Delhi/CENTRAL/2+-+BURARI_324/2025-EROLLGEN-U05-2-FinalRoll-Revision1-ENG-290-WI.pdf</t>
  </si>
  <si>
    <t>https://cookiepdf-v2-assests.s3.ap-south-1.amazonaws.com/NCT+OF+Delhi/CENTRAL/2+-+BURARI_324/2025-EROLLGEN-U05-2-FinalRoll-Revision1-ENG-291-WI.pdf</t>
  </si>
  <si>
    <t>https://cookiepdf-v2-assests.s3.ap-south-1.amazonaws.com/NCT+OF+Delhi/CENTRAL/2+-+BURARI_324/2025-EROLLGEN-U05-2-FinalRoll-Revision1-ENG-292-WI.pdf</t>
  </si>
  <si>
    <t>https://cookiepdf-v2-assests.s3.ap-south-1.amazonaws.com/NCT+OF+Delhi/CENTRAL/2+-+BURARI_324/2025-EROLLGEN-U05-2-FinalRoll-Revision1-ENG-293-WI.pdf</t>
  </si>
  <si>
    <t>https://cookiepdf-v2-assests.s3.ap-south-1.amazonaws.com/NCT+OF+Delhi/CENTRAL/2+-+BURARI_324/2025-EROLLGEN-U05-2-FinalRoll-Revision1-ENG-294-WI.pdf</t>
  </si>
  <si>
    <t>https://cookiepdf-v2-assests.s3.ap-south-1.amazonaws.com/NCT+OF+Delhi/CENTRAL/2+-+BURARI_324/2025-EROLLGEN-U05-2-FinalRoll-Revision1-ENG-295-WI.pdf</t>
  </si>
  <si>
    <t>https://cookiepdf-v2-assests.s3.ap-south-1.amazonaws.com/NCT+OF+Delhi/CENTRAL/2+-+BURARI_324/2025-EROLLGEN-U05-2-FinalRoll-Revision1-ENG-296-WI.pdf</t>
  </si>
  <si>
    <t>https://cookiepdf-v2-assests.s3.ap-south-1.amazonaws.com/NCT+OF+Delhi/CENTRAL/2+-+BURARI_324/2025-EROLLGEN-U05-2-FinalRoll-Revision1-ENG-297-WI.pdf</t>
  </si>
  <si>
    <t>https://cookiepdf-v2-assests.s3.ap-south-1.amazonaws.com/NCT+OF+Delhi/CENTRAL/2+-+BURARI_324/2025-EROLLGEN-U05-2-FinalRoll-Revision1-ENG-298-WI.pdf</t>
  </si>
  <si>
    <t>https://cookiepdf-v2-assests.s3.ap-south-1.amazonaws.com/NCT+OF+Delhi/CENTRAL/2+-+BURARI_324/2025-EROLLGEN-U05-2-FinalRoll-Revision1-ENG-299-WI.pdf</t>
  </si>
  <si>
    <t>https://cookiepdf-v2-assests.s3.ap-south-1.amazonaws.com/NCT+OF+Delhi/CENTRAL/2+-+BURARI_324/2025-EROLLGEN-U05-2-FinalRoll-Revision1-ENG-300-WI.pdf</t>
  </si>
  <si>
    <t>https://cookiepdf-v2-assests.s3.ap-south-1.amazonaws.com/NCT+OF+Delhi/CENTRAL/2+-+BURARI_324/2025-EROLLGEN-U05-2-FinalRoll-Revision1-ENG-301-WI.pdf</t>
  </si>
  <si>
    <t>https://cookiepdf-v2-assests.s3.ap-south-1.amazonaws.com/NCT+OF+Delhi/CENTRAL/2+-+BURARI_324/2025-EROLLGEN-U05-2-FinalRoll-Revision1-ENG-302-WI.pdf</t>
  </si>
  <si>
    <t>https://cookiepdf-v2-assests.s3.ap-south-1.amazonaws.com/NCT+OF+Delhi/CENTRAL/2+-+BURARI_324/2025-EROLLGEN-U05-2-FinalRoll-Revision1-ENG-303-WI.pdf</t>
  </si>
  <si>
    <t>https://cookiepdf-v2-assests.s3.ap-south-1.amazonaws.com/NCT+OF+Delhi/CENTRAL/2+-+BURARI_324/2025-EROLLGEN-U05-2-FinalRoll-Revision1-ENG-304-WI.pdf</t>
  </si>
  <si>
    <t>https://cookiepdf-v2-assests.s3.ap-south-1.amazonaws.com/NCT+OF+Delhi/CENTRAL/2+-+BURARI_324/2025-EROLLGEN-U05-2-FinalRoll-Revision1-ENG-305-WI.pdf</t>
  </si>
  <si>
    <t>https://cookiepdf-v2-assests.s3.ap-south-1.amazonaws.com/NCT+OF+Delhi/CENTRAL/2+-+BURARI_324/2025-EROLLGEN-U05-2-FinalRoll-Revision1-ENG-306-WI.pdf</t>
  </si>
  <si>
    <t>https://cookiepdf-v2-assests.s3.ap-south-1.amazonaws.com/NCT+OF+Delhi/CENTRAL/2+-+BURARI_324/2025-EROLLGEN-U05-2-FinalRoll-Revision1-ENG-307-WI.pdf</t>
  </si>
  <si>
    <t>https://cookiepdf-v2-assests.s3.ap-south-1.amazonaws.com/NCT+OF+Delhi/CENTRAL/2+-+BURARI_324/2025-EROLLGEN-U05-2-FinalRoll-Revision1-ENG-308-WI.pdf</t>
  </si>
  <si>
    <t>https://cookiepdf-v2-assests.s3.ap-south-1.amazonaws.com/NCT+OF+Delhi/CENTRAL/3+-+TIMARPUR_178/2025-EROLLGEN-U05-3-FinalRoll-Revision1-ENG-1-WI.pdf</t>
  </si>
  <si>
    <t>https://cookiepdf-v2-assests.s3.ap-south-1.amazonaws.com/NCT+OF+Delhi/CENTRAL/3+-+TIMARPUR_178/2025-EROLLGEN-U05-3-FinalRoll-Revision1-ENG-2-WI.pdf</t>
  </si>
  <si>
    <t>https://cookiepdf-v2-assests.s3.ap-south-1.amazonaws.com/NCT+OF+Delhi/CENTRAL/3+-+TIMARPUR_178/2025-EROLLGEN-U05-3-FinalRoll-Revision1-ENG-3-WI.pdf</t>
  </si>
  <si>
    <t>https://cookiepdf-v2-assests.s3.ap-south-1.amazonaws.com/NCT+OF+Delhi/CENTRAL/3+-+TIMARPUR_178/2025-EROLLGEN-U05-3-FinalRoll-Revision1-ENG-4-WI.pdf</t>
  </si>
  <si>
    <t>https://cookiepdf-v2-assests.s3.ap-south-1.amazonaws.com/NCT+OF+Delhi/CENTRAL/3+-+TIMARPUR_178/2025-EROLLGEN-U05-3-FinalRoll-Revision1-ENG-5-WI.pdf</t>
  </si>
  <si>
    <t>https://cookiepdf-v2-assests.s3.ap-south-1.amazonaws.com/NCT+OF+Delhi/CENTRAL/3+-+TIMARPUR_178/2025-EROLLGEN-U05-3-FinalRoll-Revision1-ENG-6-WI.pdf</t>
  </si>
  <si>
    <t>https://cookiepdf-v2-assests.s3.ap-south-1.amazonaws.com/NCT+OF+Delhi/CENTRAL/3+-+TIMARPUR_178/2025-EROLLGEN-U05-3-FinalRoll-Revision1-ENG-7-WI.pdf</t>
  </si>
  <si>
    <t>https://cookiepdf-v2-assests.s3.ap-south-1.amazonaws.com/NCT+OF+Delhi/CENTRAL/3+-+TIMARPUR_178/2025-EROLLGEN-U05-3-FinalRoll-Revision1-ENG-8-WI.pdf</t>
  </si>
  <si>
    <t>https://cookiepdf-v2-assests.s3.ap-south-1.amazonaws.com/NCT+OF+Delhi/CENTRAL/3+-+TIMARPUR_178/2025-EROLLGEN-U05-3-FinalRoll-Revision1-ENG-9-WI.pdf</t>
  </si>
  <si>
    <t>https://cookiepdf-v2-assests.s3.ap-south-1.amazonaws.com/NCT+OF+Delhi/CENTRAL/3+-+TIMARPUR_178/2025-EROLLGEN-U05-3-FinalRoll-Revision1-ENG-10-WI.pdf</t>
  </si>
  <si>
    <t>https://cookiepdf-v2-assests.s3.ap-south-1.amazonaws.com/NCT+OF+Delhi/CENTRAL/3+-+TIMARPUR_178/2025-EROLLGEN-U05-3-FinalRoll-Revision1-ENG-11-WI.pdf</t>
  </si>
  <si>
    <t>https://cookiepdf-v2-assests.s3.ap-south-1.amazonaws.com/NCT+OF+Delhi/CENTRAL/3+-+TIMARPUR_178/2025-EROLLGEN-U05-3-FinalRoll-Revision1-ENG-12-WI.pdf</t>
  </si>
  <si>
    <t>https://cookiepdf-v2-assests.s3.ap-south-1.amazonaws.com/NCT+OF+Delhi/CENTRAL/3+-+TIMARPUR_178/2025-EROLLGEN-U05-3-FinalRoll-Revision1-ENG-13-WI.pdf</t>
  </si>
  <si>
    <t>https://cookiepdf-v2-assests.s3.ap-south-1.amazonaws.com/NCT+OF+Delhi/CENTRAL/3+-+TIMARPUR_178/2025-EROLLGEN-U05-3-FinalRoll-Revision1-ENG-14-WI.pdf</t>
  </si>
  <si>
    <t>https://cookiepdf-v2-assests.s3.ap-south-1.amazonaws.com/NCT+OF+Delhi/CENTRAL/3+-+TIMARPUR_178/2025-EROLLGEN-U05-3-FinalRoll-Revision1-ENG-15-WI.pdf</t>
  </si>
  <si>
    <t>https://cookiepdf-v2-assests.s3.ap-south-1.amazonaws.com/NCT+OF+Delhi/CENTRAL/3+-+TIMARPUR_178/2025-EROLLGEN-U05-3-FinalRoll-Revision1-ENG-16-WI.pdf</t>
  </si>
  <si>
    <t>https://cookiepdf-v2-assests.s3.ap-south-1.amazonaws.com/NCT+OF+Delhi/CENTRAL/3+-+TIMARPUR_178/2025-EROLLGEN-U05-3-FinalRoll-Revision1-ENG-17-WI.pdf</t>
  </si>
  <si>
    <t>https://cookiepdf-v2-assests.s3.ap-south-1.amazonaws.com/NCT+OF+Delhi/CENTRAL/3+-+TIMARPUR_178/2025-EROLLGEN-U05-3-FinalRoll-Revision1-ENG-18-WI.pdf</t>
  </si>
  <si>
    <t>https://cookiepdf-v2-assests.s3.ap-south-1.amazonaws.com/NCT+OF+Delhi/CENTRAL/3+-+TIMARPUR_178/2025-EROLLGEN-U05-3-FinalRoll-Revision1-ENG-19-WI.pdf</t>
  </si>
  <si>
    <t>https://cookiepdf-v2-assests.s3.ap-south-1.amazonaws.com/NCT+OF+Delhi/CENTRAL/3+-+TIMARPUR_178/2025-EROLLGEN-U05-3-FinalRoll-Revision1-ENG-20-WI.pdf</t>
  </si>
  <si>
    <t>https://cookiepdf-v2-assests.s3.ap-south-1.amazonaws.com/NCT+OF+Delhi/CENTRAL/3+-+TIMARPUR_178/2025-EROLLGEN-U05-3-FinalRoll-Revision1-ENG-21-WI.pdf</t>
  </si>
  <si>
    <t>https://cookiepdf-v2-assests.s3.ap-south-1.amazonaws.com/NCT+OF+Delhi/CENTRAL/3+-+TIMARPUR_178/2025-EROLLGEN-U05-3-FinalRoll-Revision1-ENG-22-WI.pdf</t>
  </si>
  <si>
    <t>https://cookiepdf-v2-assests.s3.ap-south-1.amazonaws.com/NCT+OF+Delhi/CENTRAL/3+-+TIMARPUR_178/2025-EROLLGEN-U05-3-FinalRoll-Revision1-ENG-23-WI.pdf</t>
  </si>
  <si>
    <t>https://cookiepdf-v2-assests.s3.ap-south-1.amazonaws.com/NCT+OF+Delhi/CENTRAL/3+-+TIMARPUR_178/2025-EROLLGEN-U05-3-FinalRoll-Revision1-ENG-24-WI.pdf</t>
  </si>
  <si>
    <t>https://cookiepdf-v2-assests.s3.ap-south-1.amazonaws.com/NCT+OF+Delhi/CENTRAL/3+-+TIMARPUR_178/2025-EROLLGEN-U05-3-FinalRoll-Revision1-ENG-25-WI.pdf</t>
  </si>
  <si>
    <t>https://cookiepdf-v2-assests.s3.ap-south-1.amazonaws.com/NCT+OF+Delhi/CENTRAL/3+-+TIMARPUR_178/2025-EROLLGEN-U05-3-FinalRoll-Revision1-ENG-26-WI.pdf</t>
  </si>
  <si>
    <t>https://cookiepdf-v2-assests.s3.ap-south-1.amazonaws.com/NCT+OF+Delhi/CENTRAL/3+-+TIMARPUR_178/2025-EROLLGEN-U05-3-FinalRoll-Revision1-ENG-27-WI.pdf</t>
  </si>
  <si>
    <t>https://cookiepdf-v2-assests.s3.ap-south-1.amazonaws.com/NCT+OF+Delhi/CENTRAL/3+-+TIMARPUR_178/2025-EROLLGEN-U05-3-FinalRoll-Revision1-ENG-28-WI.pdf</t>
  </si>
  <si>
    <t>https://cookiepdf-v2-assests.s3.ap-south-1.amazonaws.com/NCT+OF+Delhi/CENTRAL/3+-+TIMARPUR_178/2025-EROLLGEN-U05-3-FinalRoll-Revision1-ENG-29-WI.pdf</t>
  </si>
  <si>
    <t>https://cookiepdf-v2-assests.s3.ap-south-1.amazonaws.com/NCT+OF+Delhi/CENTRAL/3+-+TIMARPUR_178/2025-EROLLGEN-U05-3-FinalRoll-Revision1-ENG-30-WI.pdf</t>
  </si>
  <si>
    <t>https://cookiepdf-v2-assests.s3.ap-south-1.amazonaws.com/NCT+OF+Delhi/CENTRAL/3+-+TIMARPUR_178/2025-EROLLGEN-U05-3-FinalRoll-Revision1-ENG-31-WI.pdf</t>
  </si>
  <si>
    <t>https://cookiepdf-v2-assests.s3.ap-south-1.amazonaws.com/NCT+OF+Delhi/CENTRAL/3+-+TIMARPUR_178/2025-EROLLGEN-U05-3-FinalRoll-Revision1-ENG-32-WI.pdf</t>
  </si>
  <si>
    <t>https://cookiepdf-v2-assests.s3.ap-south-1.amazonaws.com/NCT+OF+Delhi/CENTRAL/3+-+TIMARPUR_178/2025-EROLLGEN-U05-3-FinalRoll-Revision1-ENG-33-WI.pdf</t>
  </si>
  <si>
    <t>https://cookiepdf-v2-assests.s3.ap-south-1.amazonaws.com/NCT+OF+Delhi/CENTRAL/3+-+TIMARPUR_178/2025-EROLLGEN-U05-3-FinalRoll-Revision1-ENG-34-WI.pdf</t>
  </si>
  <si>
    <t>https://cookiepdf-v2-assests.s3.ap-south-1.amazonaws.com/NCT+OF+Delhi/CENTRAL/3+-+TIMARPUR_178/2025-EROLLGEN-U05-3-FinalRoll-Revision1-ENG-35-WI.pdf</t>
  </si>
  <si>
    <t>https://cookiepdf-v2-assests.s3.ap-south-1.amazonaws.com/NCT+OF+Delhi/CENTRAL/3+-+TIMARPUR_178/2025-EROLLGEN-U05-3-FinalRoll-Revision1-ENG-36-WI.pdf</t>
  </si>
  <si>
    <t>https://cookiepdf-v2-assests.s3.ap-south-1.amazonaws.com/NCT+OF+Delhi/CENTRAL/3+-+TIMARPUR_178/2025-EROLLGEN-U05-3-FinalRoll-Revision1-ENG-37-WI.pdf</t>
  </si>
  <si>
    <t>https://cookiepdf-v2-assests.s3.ap-south-1.amazonaws.com/NCT+OF+Delhi/CENTRAL/3+-+TIMARPUR_178/2025-EROLLGEN-U05-3-FinalRoll-Revision1-ENG-38-WI.pdf</t>
  </si>
  <si>
    <t>https://cookiepdf-v2-assests.s3.ap-south-1.amazonaws.com/NCT+OF+Delhi/CENTRAL/3+-+TIMARPUR_178/2025-EROLLGEN-U05-3-FinalRoll-Revision1-ENG-39-WI.pdf</t>
  </si>
  <si>
    <t>https://cookiepdf-v2-assests.s3.ap-south-1.amazonaws.com/NCT+OF+Delhi/CENTRAL/3+-+TIMARPUR_178/2025-EROLLGEN-U05-3-FinalRoll-Revision1-ENG-40-WI.pdf</t>
  </si>
  <si>
    <t>https://cookiepdf-v2-assests.s3.ap-south-1.amazonaws.com/NCT+OF+Delhi/CENTRAL/3+-+TIMARPUR_178/2025-EROLLGEN-U05-3-FinalRoll-Revision1-ENG-41-WI.pdf</t>
  </si>
  <si>
    <t>https://cookiepdf-v2-assests.s3.ap-south-1.amazonaws.com/NCT+OF+Delhi/CENTRAL/3+-+TIMARPUR_178/2025-EROLLGEN-U05-3-FinalRoll-Revision1-ENG-42-WI.pdf</t>
  </si>
  <si>
    <t>https://cookiepdf-v2-assests.s3.ap-south-1.amazonaws.com/NCT+OF+Delhi/CENTRAL/3+-+TIMARPUR_178/2025-EROLLGEN-U05-3-FinalRoll-Revision1-ENG-43-WI.pdf</t>
  </si>
  <si>
    <t>https://cookiepdf-v2-assests.s3.ap-south-1.amazonaws.com/NCT+OF+Delhi/CENTRAL/3+-+TIMARPUR_178/2025-EROLLGEN-U05-3-FinalRoll-Revision1-ENG-44-WI.pdf</t>
  </si>
  <si>
    <t>https://cookiepdf-v2-assests.s3.ap-south-1.amazonaws.com/NCT+OF+Delhi/CENTRAL/3+-+TIMARPUR_178/2025-EROLLGEN-U05-3-FinalRoll-Revision1-ENG-45-WI.pdf</t>
  </si>
  <si>
    <t>https://cookiepdf-v2-assests.s3.ap-south-1.amazonaws.com/NCT+OF+Delhi/CENTRAL/3+-+TIMARPUR_178/2025-EROLLGEN-U05-3-FinalRoll-Revision1-ENG-46-WI.pdf</t>
  </si>
  <si>
    <t>https://cookiepdf-v2-assests.s3.ap-south-1.amazonaws.com/NCT+OF+Delhi/CENTRAL/3+-+TIMARPUR_178/2025-EROLLGEN-U05-3-FinalRoll-Revision1-ENG-47-WI.pdf</t>
  </si>
  <si>
    <t>https://cookiepdf-v2-assests.s3.ap-south-1.amazonaws.com/NCT+OF+Delhi/CENTRAL/3+-+TIMARPUR_178/2025-EROLLGEN-U05-3-FinalRoll-Revision1-ENG-48-WI.pdf</t>
  </si>
  <si>
    <t>https://cookiepdf-v2-assests.s3.ap-south-1.amazonaws.com/NCT+OF+Delhi/CENTRAL/3+-+TIMARPUR_178/2025-EROLLGEN-U05-3-FinalRoll-Revision1-ENG-49-WI.pdf</t>
  </si>
  <si>
    <t>https://cookiepdf-v2-assests.s3.ap-south-1.amazonaws.com/NCT+OF+Delhi/CENTRAL/3+-+TIMARPUR_178/2025-EROLLGEN-U05-3-FinalRoll-Revision1-ENG-50-WI.pdf</t>
  </si>
  <si>
    <t>https://cookiepdf-v2-assests.s3.ap-south-1.amazonaws.com/NCT+OF+Delhi/CENTRAL/3+-+TIMARPUR_178/2025-EROLLGEN-U05-3-FinalRoll-Revision1-ENG-51-WI.pdf</t>
  </si>
  <si>
    <t>https://cookiepdf-v2-assests.s3.ap-south-1.amazonaws.com/NCT+OF+Delhi/CENTRAL/3+-+TIMARPUR_178/2025-EROLLGEN-U05-3-FinalRoll-Revision1-ENG-52-WI.pdf</t>
  </si>
  <si>
    <t>https://cookiepdf-v2-assests.s3.ap-south-1.amazonaws.com/NCT+OF+Delhi/CENTRAL/3+-+TIMARPUR_178/2025-EROLLGEN-U05-3-FinalRoll-Revision1-ENG-53-WI.pdf</t>
  </si>
  <si>
    <t>https://cookiepdf-v2-assests.s3.ap-south-1.amazonaws.com/NCT+OF+Delhi/CENTRAL/3+-+TIMARPUR_178/2025-EROLLGEN-U05-3-FinalRoll-Revision1-ENG-54-WI.pdf</t>
  </si>
  <si>
    <t>https://cookiepdf-v2-assests.s3.ap-south-1.amazonaws.com/NCT+OF+Delhi/CENTRAL/3+-+TIMARPUR_178/2025-EROLLGEN-U05-3-FinalRoll-Revision1-ENG-55-WI.pdf</t>
  </si>
  <si>
    <t>https://cookiepdf-v2-assests.s3.ap-south-1.amazonaws.com/NCT+OF+Delhi/CENTRAL/3+-+TIMARPUR_178/2025-EROLLGEN-U05-3-FinalRoll-Revision1-ENG-56-WI.pdf</t>
  </si>
  <si>
    <t>https://cookiepdf-v2-assests.s3.ap-south-1.amazonaws.com/NCT+OF+Delhi/CENTRAL/3+-+TIMARPUR_178/2025-EROLLGEN-U05-3-FinalRoll-Revision1-ENG-57-WI.pdf</t>
  </si>
  <si>
    <t>https://cookiepdf-v2-assests.s3.ap-south-1.amazonaws.com/NCT+OF+Delhi/CENTRAL/3+-+TIMARPUR_178/2025-EROLLGEN-U05-3-FinalRoll-Revision1-ENG-58-WI.pdf</t>
  </si>
  <si>
    <t>https://cookiepdf-v2-assests.s3.ap-south-1.amazonaws.com/NCT+OF+Delhi/CENTRAL/3+-+TIMARPUR_178/2025-EROLLGEN-U05-3-FinalRoll-Revision1-ENG-59-WI.pdf</t>
  </si>
  <si>
    <t>https://cookiepdf-v2-assests.s3.ap-south-1.amazonaws.com/NCT+OF+Delhi/CENTRAL/3+-+TIMARPUR_178/2025-EROLLGEN-U05-3-FinalRoll-Revision1-ENG-60-WI.pdf</t>
  </si>
  <si>
    <t>https://cookiepdf-v2-assests.s3.ap-south-1.amazonaws.com/NCT+OF+Delhi/CENTRAL/3+-+TIMARPUR_178/2025-EROLLGEN-U05-3-FinalRoll-Revision1-ENG-61-WI.pdf</t>
  </si>
  <si>
    <t>https://cookiepdf-v2-assests.s3.ap-south-1.amazonaws.com/NCT+OF+Delhi/CENTRAL/3+-+TIMARPUR_178/2025-EROLLGEN-U05-3-FinalRoll-Revision1-ENG-62-WI.pdf</t>
  </si>
  <si>
    <t>https://cookiepdf-v2-assests.s3.ap-south-1.amazonaws.com/NCT+OF+Delhi/CENTRAL/3+-+TIMARPUR_178/2025-EROLLGEN-U05-3-FinalRoll-Revision1-ENG-63-WI.pdf</t>
  </si>
  <si>
    <t>https://cookiepdf-v2-assests.s3.ap-south-1.amazonaws.com/NCT+OF+Delhi/CENTRAL/3+-+TIMARPUR_178/2025-EROLLGEN-U05-3-FinalRoll-Revision1-ENG-64-WI.pdf</t>
  </si>
  <si>
    <t>https://cookiepdf-v2-assests.s3.ap-south-1.amazonaws.com/NCT+OF+Delhi/CENTRAL/3+-+TIMARPUR_178/2025-EROLLGEN-U05-3-FinalRoll-Revision1-ENG-65-WI.pdf</t>
  </si>
  <si>
    <t>https://cookiepdf-v2-assests.s3.ap-south-1.amazonaws.com/NCT+OF+Delhi/CENTRAL/3+-+TIMARPUR_178/2025-EROLLGEN-U05-3-FinalRoll-Revision1-ENG-66-WI.pdf</t>
  </si>
  <si>
    <t>https://cookiepdf-v2-assests.s3.ap-south-1.amazonaws.com/NCT+OF+Delhi/CENTRAL/3+-+TIMARPUR_178/2025-EROLLGEN-U05-3-FinalRoll-Revision1-ENG-67-WI.pdf</t>
  </si>
  <si>
    <t>https://cookiepdf-v2-assests.s3.ap-south-1.amazonaws.com/NCT+OF+Delhi/CENTRAL/3+-+TIMARPUR_178/2025-EROLLGEN-U05-3-FinalRoll-Revision1-ENG-68-WI.pdf</t>
  </si>
  <si>
    <t>https://cookiepdf-v2-assests.s3.ap-south-1.amazonaws.com/NCT+OF+Delhi/CENTRAL/3+-+TIMARPUR_178/2025-EROLLGEN-U05-3-FinalRoll-Revision1-ENG-69-WI.pdf</t>
  </si>
  <si>
    <t>https://cookiepdf-v2-assests.s3.ap-south-1.amazonaws.com/NCT+OF+Delhi/CENTRAL/3+-+TIMARPUR_178/2025-EROLLGEN-U05-3-FinalRoll-Revision1-ENG-70-WI.pdf</t>
  </si>
  <si>
    <t>https://cookiepdf-v2-assests.s3.ap-south-1.amazonaws.com/NCT+OF+Delhi/CENTRAL/3+-+TIMARPUR_178/2025-EROLLGEN-U05-3-FinalRoll-Revision1-ENG-71-WI.pdf</t>
  </si>
  <si>
    <t>https://cookiepdf-v2-assests.s3.ap-south-1.amazonaws.com/NCT+OF+Delhi/CENTRAL/3+-+TIMARPUR_178/2025-EROLLGEN-U05-3-FinalRoll-Revision1-ENG-72-WI.pdf</t>
  </si>
  <si>
    <t>https://cookiepdf-v2-assests.s3.ap-south-1.amazonaws.com/NCT+OF+Delhi/CENTRAL/3+-+TIMARPUR_178/2025-EROLLGEN-U05-3-FinalRoll-Revision1-ENG-73-WI.pdf</t>
  </si>
  <si>
    <t>https://cookiepdf-v2-assests.s3.ap-south-1.amazonaws.com/NCT+OF+Delhi/CENTRAL/3+-+TIMARPUR_178/2025-EROLLGEN-U05-3-FinalRoll-Revision1-ENG-74-WI.pdf</t>
  </si>
  <si>
    <t>https://cookiepdf-v2-assests.s3.ap-south-1.amazonaws.com/NCT+OF+Delhi/CENTRAL/3+-+TIMARPUR_178/2025-EROLLGEN-U05-3-FinalRoll-Revision1-ENG-75-WI.pdf</t>
  </si>
  <si>
    <t>https://cookiepdf-v2-assests.s3.ap-south-1.amazonaws.com/NCT+OF+Delhi/CENTRAL/3+-+TIMARPUR_178/2025-EROLLGEN-U05-3-FinalRoll-Revision1-ENG-76-WI.pdf</t>
  </si>
  <si>
    <t>https://cookiepdf-v2-assests.s3.ap-south-1.amazonaws.com/NCT+OF+Delhi/CENTRAL/3+-+TIMARPUR_178/2025-EROLLGEN-U05-3-FinalRoll-Revision1-ENG-77-WI.pdf</t>
  </si>
  <si>
    <t>https://cookiepdf-v2-assests.s3.ap-south-1.amazonaws.com/NCT+OF+Delhi/CENTRAL/3+-+TIMARPUR_178/2025-EROLLGEN-U05-3-FinalRoll-Revision1-ENG-78-WI.pdf</t>
  </si>
  <si>
    <t>https://cookiepdf-v2-assests.s3.ap-south-1.amazonaws.com/NCT+OF+Delhi/CENTRAL/3+-+TIMARPUR_178/2025-EROLLGEN-U05-3-FinalRoll-Revision1-ENG-79-WI.pdf</t>
  </si>
  <si>
    <t>https://cookiepdf-v2-assests.s3.ap-south-1.amazonaws.com/NCT+OF+Delhi/CENTRAL/3+-+TIMARPUR_178/2025-EROLLGEN-U05-3-FinalRoll-Revision1-ENG-80-WI.pdf</t>
  </si>
  <si>
    <t>https://cookiepdf-v2-assests.s3.ap-south-1.amazonaws.com/NCT+OF+Delhi/CENTRAL/3+-+TIMARPUR_178/2025-EROLLGEN-U05-3-FinalRoll-Revision1-ENG-81-WI.pdf</t>
  </si>
  <si>
    <t>https://cookiepdf-v2-assests.s3.ap-south-1.amazonaws.com/NCT+OF+Delhi/CENTRAL/3+-+TIMARPUR_178/2025-EROLLGEN-U05-3-FinalRoll-Revision1-ENG-82-WI.pdf</t>
  </si>
  <si>
    <t>https://cookiepdf-v2-assests.s3.ap-south-1.amazonaws.com/NCT+OF+Delhi/CENTRAL/3+-+TIMARPUR_178/2025-EROLLGEN-U05-3-FinalRoll-Revision1-ENG-83-WI.pdf</t>
  </si>
  <si>
    <t>https://cookiepdf-v2-assests.s3.ap-south-1.amazonaws.com/NCT+OF+Delhi/CENTRAL/3+-+TIMARPUR_178/2025-EROLLGEN-U05-3-FinalRoll-Revision1-ENG-84-WI.pdf</t>
  </si>
  <si>
    <t>https://cookiepdf-v2-assests.s3.ap-south-1.amazonaws.com/NCT+OF+Delhi/CENTRAL/3+-+TIMARPUR_178/2025-EROLLGEN-U05-3-FinalRoll-Revision1-ENG-85-WI.pdf</t>
  </si>
  <si>
    <t>https://cookiepdf-v2-assests.s3.ap-south-1.amazonaws.com/NCT+OF+Delhi/CENTRAL/3+-+TIMARPUR_178/2025-EROLLGEN-U05-3-FinalRoll-Revision1-ENG-86-WI.pdf</t>
  </si>
  <si>
    <t>https://cookiepdf-v2-assests.s3.ap-south-1.amazonaws.com/NCT+OF+Delhi/CENTRAL/3+-+TIMARPUR_178/2025-EROLLGEN-U05-3-FinalRoll-Revision1-ENG-87-WI.pdf</t>
  </si>
  <si>
    <t>https://cookiepdf-v2-assests.s3.ap-south-1.amazonaws.com/NCT+OF+Delhi/CENTRAL/3+-+TIMARPUR_178/2025-EROLLGEN-U05-3-FinalRoll-Revision1-ENG-88-WI.pdf</t>
  </si>
  <si>
    <t>https://cookiepdf-v2-assests.s3.ap-south-1.amazonaws.com/NCT+OF+Delhi/CENTRAL/3+-+TIMARPUR_178/2025-EROLLGEN-U05-3-FinalRoll-Revision1-ENG-89-WI.pdf</t>
  </si>
  <si>
    <t>https://cookiepdf-v2-assests.s3.ap-south-1.amazonaws.com/NCT+OF+Delhi/CENTRAL/3+-+TIMARPUR_178/2025-EROLLGEN-U05-3-FinalRoll-Revision1-ENG-90-WI.pdf</t>
  </si>
  <si>
    <t>https://cookiepdf-v2-assests.s3.ap-south-1.amazonaws.com/NCT+OF+Delhi/CENTRAL/3+-+TIMARPUR_178/2025-EROLLGEN-U05-3-FinalRoll-Revision1-ENG-91-WI.pdf</t>
  </si>
  <si>
    <t>https://cookiepdf-v2-assests.s3.ap-south-1.amazonaws.com/NCT+OF+Delhi/CENTRAL/3+-+TIMARPUR_178/2025-EROLLGEN-U05-3-FinalRoll-Revision1-ENG-92-WI.pdf</t>
  </si>
  <si>
    <t>https://cookiepdf-v2-assests.s3.ap-south-1.amazonaws.com/NCT+OF+Delhi/CENTRAL/3+-+TIMARPUR_178/2025-EROLLGEN-U05-3-FinalRoll-Revision1-ENG-93-WI.pdf</t>
  </si>
  <si>
    <t>https://cookiepdf-v2-assests.s3.ap-south-1.amazonaws.com/NCT+OF+Delhi/CENTRAL/3+-+TIMARPUR_178/2025-EROLLGEN-U05-3-FinalRoll-Revision1-ENG-94-WI.pdf</t>
  </si>
  <si>
    <t>https://cookiepdf-v2-assests.s3.ap-south-1.amazonaws.com/NCT+OF+Delhi/CENTRAL/3+-+TIMARPUR_178/2025-EROLLGEN-U05-3-FinalRoll-Revision1-ENG-95-WI.pdf</t>
  </si>
  <si>
    <t>https://cookiepdf-v2-assests.s3.ap-south-1.amazonaws.com/NCT+OF+Delhi/CENTRAL/3+-+TIMARPUR_178/2025-EROLLGEN-U05-3-FinalRoll-Revision1-ENG-96-WI.pdf</t>
  </si>
  <si>
    <t>https://cookiepdf-v2-assests.s3.ap-south-1.amazonaws.com/NCT+OF+Delhi/CENTRAL/3+-+TIMARPUR_178/2025-EROLLGEN-U05-3-FinalRoll-Revision1-ENG-97-WI.pdf</t>
  </si>
  <si>
    <t>https://cookiepdf-v2-assests.s3.ap-south-1.amazonaws.com/NCT+OF+Delhi/CENTRAL/3+-+TIMARPUR_178/2025-EROLLGEN-U05-3-FinalRoll-Revision1-ENG-98-WI.pdf</t>
  </si>
  <si>
    <t>https://cookiepdf-v2-assests.s3.ap-south-1.amazonaws.com/NCT+OF+Delhi/CENTRAL/3+-+TIMARPUR_178/2025-EROLLGEN-U05-3-FinalRoll-Revision1-ENG-99-WI.pdf</t>
  </si>
  <si>
    <t>https://cookiepdf-v2-assests.s3.ap-south-1.amazonaws.com/NCT+OF+Delhi/CENTRAL/3+-+TIMARPUR_178/2025-EROLLGEN-U05-3-FinalRoll-Revision1-ENG-100-WI.pdf</t>
  </si>
  <si>
    <t>https://cookiepdf-v2-assests.s3.ap-south-1.amazonaws.com/NCT+OF+Delhi/CENTRAL/3+-+TIMARPUR_178/2025-EROLLGEN-U05-3-FinalRoll-Revision1-ENG-101-WI.pdf</t>
  </si>
  <si>
    <t>https://cookiepdf-v2-assests.s3.ap-south-1.amazonaws.com/NCT+OF+Delhi/CENTRAL/3+-+TIMARPUR_178/2025-EROLLGEN-U05-3-FinalRoll-Revision1-ENG-102-WI.pdf</t>
  </si>
  <si>
    <t>https://cookiepdf-v2-assests.s3.ap-south-1.amazonaws.com/NCT+OF+Delhi/CENTRAL/3+-+TIMARPUR_178/2025-EROLLGEN-U05-3-FinalRoll-Revision1-ENG-103-WI.pdf</t>
  </si>
  <si>
    <t>https://cookiepdf-v2-assests.s3.ap-south-1.amazonaws.com/NCT+OF+Delhi/CENTRAL/3+-+TIMARPUR_178/2025-EROLLGEN-U05-3-FinalRoll-Revision1-ENG-104-WI.pdf</t>
  </si>
  <si>
    <t>https://cookiepdf-v2-assests.s3.ap-south-1.amazonaws.com/NCT+OF+Delhi/CENTRAL/3+-+TIMARPUR_178/2025-EROLLGEN-U05-3-FinalRoll-Revision1-ENG-105-WI.pdf</t>
  </si>
  <si>
    <t>https://cookiepdf-v2-assests.s3.ap-south-1.amazonaws.com/NCT+OF+Delhi/CENTRAL/3+-+TIMARPUR_178/2025-EROLLGEN-U05-3-FinalRoll-Revision1-ENG-106-WI.pdf</t>
  </si>
  <si>
    <t>https://cookiepdf-v2-assests.s3.ap-south-1.amazonaws.com/NCT+OF+Delhi/CENTRAL/3+-+TIMARPUR_178/2025-EROLLGEN-U05-3-FinalRoll-Revision1-ENG-107-WI.pdf</t>
  </si>
  <si>
    <t>https://cookiepdf-v2-assests.s3.ap-south-1.amazonaws.com/NCT+OF+Delhi/CENTRAL/3+-+TIMARPUR_178/2025-EROLLGEN-U05-3-FinalRoll-Revision1-ENG-108-WI.pdf</t>
  </si>
  <si>
    <t>https://cookiepdf-v2-assests.s3.ap-south-1.amazonaws.com/NCT+OF+Delhi/CENTRAL/3+-+TIMARPUR_178/2025-EROLLGEN-U05-3-FinalRoll-Revision1-ENG-109-WI.pdf</t>
  </si>
  <si>
    <t>https://cookiepdf-v2-assests.s3.ap-south-1.amazonaws.com/NCT+OF+Delhi/CENTRAL/3+-+TIMARPUR_178/2025-EROLLGEN-U05-3-FinalRoll-Revision1-ENG-110-WI.pdf</t>
  </si>
  <si>
    <t>https://cookiepdf-v2-assests.s3.ap-south-1.amazonaws.com/NCT+OF+Delhi/CENTRAL/3+-+TIMARPUR_178/2025-EROLLGEN-U05-3-FinalRoll-Revision1-ENG-111-WI.pdf</t>
  </si>
  <si>
    <t>https://cookiepdf-v2-assests.s3.ap-south-1.amazonaws.com/NCT+OF+Delhi/CENTRAL/3+-+TIMARPUR_178/2025-EROLLGEN-U05-3-FinalRoll-Revision1-ENG-112-WI.pdf</t>
  </si>
  <si>
    <t>https://cookiepdf-v2-assests.s3.ap-south-1.amazonaws.com/NCT+OF+Delhi/CENTRAL/3+-+TIMARPUR_178/2025-EROLLGEN-U05-3-FinalRoll-Revision1-ENG-113-WI.pdf</t>
  </si>
  <si>
    <t>https://cookiepdf-v2-assests.s3.ap-south-1.amazonaws.com/NCT+OF+Delhi/CENTRAL/3+-+TIMARPUR_178/2025-EROLLGEN-U05-3-FinalRoll-Revision1-ENG-114-WI.pdf</t>
  </si>
  <si>
    <t>https://cookiepdf-v2-assests.s3.ap-south-1.amazonaws.com/NCT+OF+Delhi/CENTRAL/3+-+TIMARPUR_178/2025-EROLLGEN-U05-3-FinalRoll-Revision1-ENG-115-WI.pdf</t>
  </si>
  <si>
    <t>https://cookiepdf-v2-assests.s3.ap-south-1.amazonaws.com/NCT+OF+Delhi/CENTRAL/3+-+TIMARPUR_178/2025-EROLLGEN-U05-3-FinalRoll-Revision1-ENG-116-WI.pdf</t>
  </si>
  <si>
    <t>https://cookiepdf-v2-assests.s3.ap-south-1.amazonaws.com/NCT+OF+Delhi/CENTRAL/3+-+TIMARPUR_178/2025-EROLLGEN-U05-3-FinalRoll-Revision1-ENG-117-WI.pdf</t>
  </si>
  <si>
    <t>https://cookiepdf-v2-assests.s3.ap-south-1.amazonaws.com/NCT+OF+Delhi/CENTRAL/3+-+TIMARPUR_178/2025-EROLLGEN-U05-3-FinalRoll-Revision1-ENG-118-WI.pdf</t>
  </si>
  <si>
    <t>https://cookiepdf-v2-assests.s3.ap-south-1.amazonaws.com/NCT+OF+Delhi/CENTRAL/3+-+TIMARPUR_178/2025-EROLLGEN-U05-3-FinalRoll-Revision1-ENG-119-WI.pdf</t>
  </si>
  <si>
    <t>https://cookiepdf-v2-assests.s3.ap-south-1.amazonaws.com/NCT+OF+Delhi/CENTRAL/3+-+TIMARPUR_178/2025-EROLLGEN-U05-3-FinalRoll-Revision1-ENG-120-WI.pdf</t>
  </si>
  <si>
    <t>https://cookiepdf-v2-assests.s3.ap-south-1.amazonaws.com/NCT+OF+Delhi/CENTRAL/3+-+TIMARPUR_178/2025-EROLLGEN-U05-3-FinalRoll-Revision1-ENG-121-WI.pdf</t>
  </si>
  <si>
    <t>https://cookiepdf-v2-assests.s3.ap-south-1.amazonaws.com/NCT+OF+Delhi/CENTRAL/3+-+TIMARPUR_178/2025-EROLLGEN-U05-3-FinalRoll-Revision1-ENG-122-WI.pdf</t>
  </si>
  <si>
    <t>https://cookiepdf-v2-assests.s3.ap-south-1.amazonaws.com/NCT+OF+Delhi/CENTRAL/3+-+TIMARPUR_178/2025-EROLLGEN-U05-3-FinalRoll-Revision1-ENG-123-WI.pdf</t>
  </si>
  <si>
    <t>https://cookiepdf-v2-assests.s3.ap-south-1.amazonaws.com/NCT+OF+Delhi/CENTRAL/3+-+TIMARPUR_178/2025-EROLLGEN-U05-3-FinalRoll-Revision1-ENG-124-WI.pdf</t>
  </si>
  <si>
    <t>https://cookiepdf-v2-assests.s3.ap-south-1.amazonaws.com/NCT+OF+Delhi/CENTRAL/3+-+TIMARPUR_178/2025-EROLLGEN-U05-3-FinalRoll-Revision1-ENG-125-WI.pdf</t>
  </si>
  <si>
    <t>https://cookiepdf-v2-assests.s3.ap-south-1.amazonaws.com/NCT+OF+Delhi/CENTRAL/3+-+TIMARPUR_178/2025-EROLLGEN-U05-3-FinalRoll-Revision1-ENG-126-WI.pdf</t>
  </si>
  <si>
    <t>https://cookiepdf-v2-assests.s3.ap-south-1.amazonaws.com/NCT+OF+Delhi/CENTRAL/3+-+TIMARPUR_178/2025-EROLLGEN-U05-3-FinalRoll-Revision1-ENG-127-WI.pdf</t>
  </si>
  <si>
    <t>https://cookiepdf-v2-assests.s3.ap-south-1.amazonaws.com/NCT+OF+Delhi/CENTRAL/3+-+TIMARPUR_178/2025-EROLLGEN-U05-3-FinalRoll-Revision1-ENG-128-WI.pdf</t>
  </si>
  <si>
    <t>https://cookiepdf-v2-assests.s3.ap-south-1.amazonaws.com/NCT+OF+Delhi/CENTRAL/3+-+TIMARPUR_178/2025-EROLLGEN-U05-3-FinalRoll-Revision1-ENG-129-WI.pdf</t>
  </si>
  <si>
    <t>https://cookiepdf-v2-assests.s3.ap-south-1.amazonaws.com/NCT+OF+Delhi/CENTRAL/3+-+TIMARPUR_178/2025-EROLLGEN-U05-3-FinalRoll-Revision1-ENG-130-WI.pdf</t>
  </si>
  <si>
    <t>https://cookiepdf-v2-assests.s3.ap-south-1.amazonaws.com/NCT+OF+Delhi/CENTRAL/3+-+TIMARPUR_178/2025-EROLLGEN-U05-3-FinalRoll-Revision1-ENG-131-WI.pdf</t>
  </si>
  <si>
    <t>https://cookiepdf-v2-assests.s3.ap-south-1.amazonaws.com/NCT+OF+Delhi/CENTRAL/3+-+TIMARPUR_178/2025-EROLLGEN-U05-3-FinalRoll-Revision1-ENG-132-WI.pdf</t>
  </si>
  <si>
    <t>https://cookiepdf-v2-assests.s3.ap-south-1.amazonaws.com/NCT+OF+Delhi/CENTRAL/3+-+TIMARPUR_178/2025-EROLLGEN-U05-3-FinalRoll-Revision1-ENG-133-WI.pdf</t>
  </si>
  <si>
    <t>https://cookiepdf-v2-assests.s3.ap-south-1.amazonaws.com/NCT+OF+Delhi/CENTRAL/3+-+TIMARPUR_178/2025-EROLLGEN-U05-3-FinalRoll-Revision1-ENG-134-WI.pdf</t>
  </si>
  <si>
    <t>https://cookiepdf-v2-assests.s3.ap-south-1.amazonaws.com/NCT+OF+Delhi/CENTRAL/3+-+TIMARPUR_178/2025-EROLLGEN-U05-3-FinalRoll-Revision1-ENG-135-WI.pdf</t>
  </si>
  <si>
    <t>https://cookiepdf-v2-assests.s3.ap-south-1.amazonaws.com/NCT+OF+Delhi/CENTRAL/3+-+TIMARPUR_178/2025-EROLLGEN-U05-3-FinalRoll-Revision1-ENG-136-WI.pdf</t>
  </si>
  <si>
    <t>https://cookiepdf-v2-assests.s3.ap-south-1.amazonaws.com/NCT+OF+Delhi/CENTRAL/3+-+TIMARPUR_178/2025-EROLLGEN-U05-3-FinalRoll-Revision1-ENG-137-WI.pdf</t>
  </si>
  <si>
    <t>https://cookiepdf-v2-assests.s3.ap-south-1.amazonaws.com/NCT+OF+Delhi/CENTRAL/3+-+TIMARPUR_178/2025-EROLLGEN-U05-3-FinalRoll-Revision1-ENG-138-WI.pdf</t>
  </si>
  <si>
    <t>https://cookiepdf-v2-assests.s3.ap-south-1.amazonaws.com/NCT+OF+Delhi/CENTRAL/3+-+TIMARPUR_178/2025-EROLLGEN-U05-3-FinalRoll-Revision1-ENG-139-WI.pdf</t>
  </si>
  <si>
    <t>https://cookiepdf-v2-assests.s3.ap-south-1.amazonaws.com/NCT+OF+Delhi/CENTRAL/3+-+TIMARPUR_178/2025-EROLLGEN-U05-3-FinalRoll-Revision1-ENG-140-WI.pdf</t>
  </si>
  <si>
    <t>https://cookiepdf-v2-assests.s3.ap-south-1.amazonaws.com/NCT+OF+Delhi/CENTRAL/3+-+TIMARPUR_178/2025-EROLLGEN-U05-3-FinalRoll-Revision1-ENG-141-WI.pdf</t>
  </si>
  <si>
    <t>https://cookiepdf-v2-assests.s3.ap-south-1.amazonaws.com/NCT+OF+Delhi/CENTRAL/3+-+TIMARPUR_178/2025-EROLLGEN-U05-3-FinalRoll-Revision1-ENG-142-WI.pdf</t>
  </si>
  <si>
    <t>https://cookiepdf-v2-assests.s3.ap-south-1.amazonaws.com/NCT+OF+Delhi/CENTRAL/3+-+TIMARPUR_178/2025-EROLLGEN-U05-3-FinalRoll-Revision1-ENG-143-WI.pdf</t>
  </si>
  <si>
    <t>https://cookiepdf-v2-assests.s3.ap-south-1.amazonaws.com/NCT+OF+Delhi/CENTRAL/3+-+TIMARPUR_178/2025-EROLLGEN-U05-3-FinalRoll-Revision1-ENG-144-WI.pdf</t>
  </si>
  <si>
    <t>https://cookiepdf-v2-assests.s3.ap-south-1.amazonaws.com/NCT+OF+Delhi/CENTRAL/3+-+TIMARPUR_178/2025-EROLLGEN-U05-3-FinalRoll-Revision1-ENG-145-WI.pdf</t>
  </si>
  <si>
    <t>https://cookiepdf-v2-assests.s3.ap-south-1.amazonaws.com/NCT+OF+Delhi/CENTRAL/3+-+TIMARPUR_178/2025-EROLLGEN-U05-3-FinalRoll-Revision1-ENG-146-WI.pdf</t>
  </si>
  <si>
    <t>https://cookiepdf-v2-assests.s3.ap-south-1.amazonaws.com/NCT+OF+Delhi/CENTRAL/3+-+TIMARPUR_178/2025-EROLLGEN-U05-3-FinalRoll-Revision1-ENG-147-WI.pdf</t>
  </si>
  <si>
    <t>https://cookiepdf-v2-assests.s3.ap-south-1.amazonaws.com/NCT+OF+Delhi/CENTRAL/3+-+TIMARPUR_178/2025-EROLLGEN-U05-3-FinalRoll-Revision1-ENG-148-WI.pdf</t>
  </si>
  <si>
    <t>https://cookiepdf-v2-assests.s3.ap-south-1.amazonaws.com/NCT+OF+Delhi/CENTRAL/3+-+TIMARPUR_178/2025-EROLLGEN-U05-3-FinalRoll-Revision1-ENG-149-WI.pdf</t>
  </si>
  <si>
    <t>https://cookiepdf-v2-assests.s3.ap-south-1.amazonaws.com/NCT+OF+Delhi/CENTRAL/3+-+TIMARPUR_178/2025-EROLLGEN-U05-3-FinalRoll-Revision1-ENG-150-WI.pdf</t>
  </si>
  <si>
    <t>https://cookiepdf-v2-assests.s3.ap-south-1.amazonaws.com/NCT+OF+Delhi/CENTRAL/3+-+TIMARPUR_178/2025-EROLLGEN-U05-3-FinalRoll-Revision1-ENG-151-WI.pdf</t>
  </si>
  <si>
    <t>https://cookiepdf-v2-assests.s3.ap-south-1.amazonaws.com/NCT+OF+Delhi/CENTRAL/3+-+TIMARPUR_178/2025-EROLLGEN-U05-3-FinalRoll-Revision1-ENG-152-WI.pdf</t>
  </si>
  <si>
    <t>https://cookiepdf-v2-assests.s3.ap-south-1.amazonaws.com/NCT+OF+Delhi/CENTRAL/3+-+TIMARPUR_178/2025-EROLLGEN-U05-3-FinalRoll-Revision1-ENG-153-WI.pdf</t>
  </si>
  <si>
    <t>https://cookiepdf-v2-assests.s3.ap-south-1.amazonaws.com/NCT+OF+Delhi/CENTRAL/3+-+TIMARPUR_178/2025-EROLLGEN-U05-3-FinalRoll-Revision1-ENG-154-WI.pdf</t>
  </si>
  <si>
    <t>https://cookiepdf-v2-assests.s3.ap-south-1.amazonaws.com/NCT+OF+Delhi/CENTRAL/3+-+TIMARPUR_178/2025-EROLLGEN-U05-3-FinalRoll-Revision1-ENG-155-WI.pdf</t>
  </si>
  <si>
    <t>https://cookiepdf-v2-assests.s3.ap-south-1.amazonaws.com/NCT+OF+Delhi/CENTRAL/3+-+TIMARPUR_178/2025-EROLLGEN-U05-3-FinalRoll-Revision1-ENG-156-WI.pdf</t>
  </si>
  <si>
    <t>https://cookiepdf-v2-assests.s3.ap-south-1.amazonaws.com/NCT+OF+Delhi/CENTRAL/3+-+TIMARPUR_178/2025-EROLLGEN-U05-3-FinalRoll-Revision1-ENG-157-WI.pdf</t>
  </si>
  <si>
    <t>https://cookiepdf-v2-assests.s3.ap-south-1.amazonaws.com/NCT+OF+Delhi/CENTRAL/3+-+TIMARPUR_178/2025-EROLLGEN-U05-3-FinalRoll-Revision1-ENG-158-WI.pdf</t>
  </si>
  <si>
    <t>https://cookiepdf-v2-assests.s3.ap-south-1.amazonaws.com/NCT+OF+Delhi/CENTRAL/3+-+TIMARPUR_178/2025-EROLLGEN-U05-3-FinalRoll-Revision1-ENG-159-WI.pdf</t>
  </si>
  <si>
    <t>https://cookiepdf-v2-assests.s3.ap-south-1.amazonaws.com/NCT+OF+Delhi/CENTRAL/3+-+TIMARPUR_178/2025-EROLLGEN-U05-3-FinalRoll-Revision1-ENG-160-WI.pdf</t>
  </si>
  <si>
    <t>https://cookiepdf-v2-assests.s3.ap-south-1.amazonaws.com/NCT+OF+Delhi/CENTRAL/3+-+TIMARPUR_178/2025-EROLLGEN-U05-3-FinalRoll-Revision1-ENG-161-WI.pdf</t>
  </si>
  <si>
    <t>https://cookiepdf-v2-assests.s3.ap-south-1.amazonaws.com/NCT+OF+Delhi/CENTRAL/3+-+TIMARPUR_178/2025-EROLLGEN-U05-3-FinalRoll-Revision1-ENG-162-WI.pdf</t>
  </si>
  <si>
    <t>https://cookiepdf-v2-assests.s3.ap-south-1.amazonaws.com/NCT+OF+Delhi/CENTRAL/3+-+TIMARPUR_178/2025-EROLLGEN-U05-3-FinalRoll-Revision1-ENG-163-WI.pdf</t>
  </si>
  <si>
    <t>https://cookiepdf-v2-assests.s3.ap-south-1.amazonaws.com/NCT+OF+Delhi/CENTRAL/3+-+TIMARPUR_178/2025-EROLLGEN-U05-3-FinalRoll-Revision1-ENG-164-WI.pdf</t>
  </si>
  <si>
    <t>https://cookiepdf-v2-assests.s3.ap-south-1.amazonaws.com/NCT+OF+Delhi/CENTRAL/3+-+TIMARPUR_178/2025-EROLLGEN-U05-3-FinalRoll-Revision1-ENG-165-WI.pdf</t>
  </si>
  <si>
    <t>https://cookiepdf-v2-assests.s3.ap-south-1.amazonaws.com/NCT+OF+Delhi/CENTRAL/3+-+TIMARPUR_178/2025-EROLLGEN-U05-3-FinalRoll-Revision1-ENG-166-WI.pdf</t>
  </si>
  <si>
    <t>https://cookiepdf-v2-assests.s3.ap-south-1.amazonaws.com/NCT+OF+Delhi/CENTRAL/3+-+TIMARPUR_178/2025-EROLLGEN-U05-3-FinalRoll-Revision1-ENG-167-WI.pdf</t>
  </si>
  <si>
    <t>https://cookiepdf-v2-assests.s3.ap-south-1.amazonaws.com/NCT+OF+Delhi/CENTRAL/3+-+TIMARPUR_178/2025-EROLLGEN-U05-3-FinalRoll-Revision1-ENG-168-WI.pdf</t>
  </si>
  <si>
    <t>https://cookiepdf-v2-assests.s3.ap-south-1.amazonaws.com/NCT+OF+Delhi/CENTRAL/3+-+TIMARPUR_178/2025-EROLLGEN-U05-3-FinalRoll-Revision1-ENG-169-WI.pdf</t>
  </si>
  <si>
    <t>https://cookiepdf-v2-assests.s3.ap-south-1.amazonaws.com/NCT+OF+Delhi/CENTRAL/3+-+TIMARPUR_178/2025-EROLLGEN-U05-3-FinalRoll-Revision1-ENG-170-WI.pdf</t>
  </si>
  <si>
    <t>https://cookiepdf-v2-assests.s3.ap-south-1.amazonaws.com/NCT+OF+Delhi/CENTRAL/3+-+TIMARPUR_178/2025-EROLLGEN-U05-3-FinalRoll-Revision1-ENG-171-WI.pdf</t>
  </si>
  <si>
    <t>https://cookiepdf-v2-assests.s3.ap-south-1.amazonaws.com/NCT+OF+Delhi/CENTRAL/3+-+TIMARPUR_178/2025-EROLLGEN-U05-3-FinalRoll-Revision1-ENG-172-WI.pdf</t>
  </si>
  <si>
    <t>https://cookiepdf-v2-assests.s3.ap-south-1.amazonaws.com/NCT+OF+Delhi/CENTRAL/3+-+TIMARPUR_178/2025-EROLLGEN-U05-3-FinalRoll-Revision1-ENG-173-WI.pdf</t>
  </si>
  <si>
    <t>https://cookiepdf-v2-assests.s3.ap-south-1.amazonaws.com/NCT+OF+Delhi/CENTRAL/3+-+TIMARPUR_178/2025-EROLLGEN-U05-3-FinalRoll-Revision1-ENG-174-WI.pdf</t>
  </si>
  <si>
    <t>https://cookiepdf-v2-assests.s3.ap-south-1.amazonaws.com/NCT+OF+Delhi/CENTRAL/3+-+TIMARPUR_178/2025-EROLLGEN-U05-3-FinalRoll-Revision1-ENG-175-WI.pdf</t>
  </si>
  <si>
    <t>https://cookiepdf-v2-assests.s3.ap-south-1.amazonaws.com/NCT+OF+Delhi/CENTRAL/3+-+TIMARPUR_178/2025-EROLLGEN-U05-3-FinalRoll-Revision1-ENG-176-WI.pdf</t>
  </si>
  <si>
    <t>https://cookiepdf-v2-assests.s3.ap-south-1.amazonaws.com/NCT+OF+Delhi/CENTRAL/3+-+TIMARPUR_178/2025-EROLLGEN-U05-3-FinalRoll-Revision1-ENG-177-WI.pdf</t>
  </si>
  <si>
    <t>https://cookiepdf-v2-assests.s3.ap-south-1.amazonaws.com/NCT+OF+Delhi/CENTRAL/3+-+TIMARPUR_178/2025-EROLLGEN-U05-3-FinalRoll-Revision1-ENG-178-WI.pdf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</si>
</sst>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0"/>
      <name val="Arial"/>
    </font>
    <font>
      <sz val="9"/>
      <name val="Times New Roman"/>
      <family val="1"/>
    </font>
    <font>
      <b/>
      <u/>
      <sz val="9"/>
      <name val="Times New Roman"/>
      <family val="1"/>
    </font>
    <font>
      <b/>
      <sz val="10"/>
      <name val="Times New Roman"/>
      <family val="1"/>
    </font>
    <font>
      <b/>
      <sz val="10"/>
      <color indexed="10"/>
      <name val="Arial"/>
      <family val="2"/>
    </font>
    <font>
      <b/>
      <i/>
      <sz val="10"/>
      <color indexed="12"/>
      <name val="Arial"/>
      <family val="2"/>
    </font>
    <font>
      <sz val="10"/>
      <name val="Times New Roman"/>
      <family val="1"/>
    </font>
    <font>
      <b/>
      <u/>
      <sz val="13"/>
      <name val="Times New Roman"/>
      <family val="1"/>
    </font>
    <font>
      <b/>
      <sz val="1"/>
      <name val="Times New Roman"/>
      <family val="1"/>
    </font>
    <font>
      <sz val="10"/>
      <name val="Arial"/>
      <family val="2"/>
    </font>
    <font>
      <sz val="9"/>
      <color indexed="1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35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4" xfId="0" applyFont="1" applyBorder="1" applyAlignment="1" applyProtection="1">
      <alignment horizontal="center" wrapText="1"/>
      <protection locked="0"/>
    </xf>
    <xf numFmtId="164" fontId="1" fillId="0" borderId="4" xfId="0" applyNumberFormat="1" applyFont="1" applyBorder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164" fontId="2" fillId="2" borderId="4" xfId="0" applyNumberFormat="1" applyFont="1" applyFill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wrapText="1"/>
      <protection locked="0"/>
    </xf>
    <xf numFmtId="0" fontId="5" fillId="2" borderId="5" xfId="0" applyFont="1" applyFill="1" applyBorder="1" applyAlignment="1" applyProtection="1">
      <alignment horizontal="center" wrapText="1"/>
      <protection locked="0"/>
    </xf>
    <xf numFmtId="0" fontId="5" fillId="2" borderId="4" xfId="0" applyFont="1" applyFill="1" applyBorder="1" applyAlignment="1" applyProtection="1">
      <alignment horizontal="center" wrapText="1"/>
      <protection locked="0"/>
    </xf>
    <xf numFmtId="0" fontId="10" fillId="0" borderId="5" xfId="0" applyFont="1" applyBorder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 wrapText="1"/>
      <protection locked="0"/>
    </xf>
    <xf numFmtId="164" fontId="6" fillId="0" borderId="0" xfId="0" applyNumberFormat="1" applyFont="1" applyAlignment="1" applyProtection="1">
      <alignment horizontal="center" wrapText="1"/>
      <protection locked="0"/>
    </xf>
    <xf numFmtId="0" fontId="8" fillId="0" borderId="0" xfId="0" applyFon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" fontId="6" fillId="0" borderId="6" xfId="0" applyNumberFormat="1" applyFont="1" applyBorder="1" applyAlignment="1" applyProtection="1">
      <alignment horizontal="center" wrapText="1"/>
      <protection hidden="1"/>
    </xf>
    <xf numFmtId="1" fontId="3" fillId="0" borderId="6" xfId="0" applyNumberFormat="1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wrapText="1"/>
      <protection hidden="1"/>
    </xf>
    <xf numFmtId="164" fontId="6" fillId="0" borderId="6" xfId="0" applyNumberFormat="1" applyFont="1" applyBorder="1" applyAlignment="1" applyProtection="1">
      <alignment horizontal="center" wrapText="1"/>
      <protection hidden="1"/>
    </xf>
    <xf numFmtId="1" fontId="9" fillId="0" borderId="6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2" fillId="0" borderId="6" xfId="0" applyFont="1" applyBorder="1" applyAlignment="1">
      <alignment horizontal="right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8" xfId="0" applyFont="1" applyBorder="1" applyAlignment="1" applyProtection="1">
      <alignment horizontal="center" wrapText="1"/>
      <protection locked="0"/>
    </xf>
    <xf numFmtId="0" fontId="1" fillId="0" borderId="4" xfId="0" applyFont="1" applyBorder="1" applyAlignment="1" applyProtection="1">
      <alignment horizontal="center" wrapText="1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</cellXfs>
  <cellStyles count="2">
    <cellStyle name="Normal" xfId="0" builtinId="0"/>
    <cellStyle name="Normal 3" xfId="1" xr:uid="{FFA9EBD3-4E3A-4B32-B35B-038339D09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okiepdf-v2-assests.s3.ap-south-1.amazonaws.com/NCT+OF+Delhi/NORTH/1+-+NERELA_295/2025-EROLLGEN-U05-1-FinalRoll-Revision1-ENG-117-WI.pdf" TargetMode="External"/><Relationship Id="rId671" Type="http://schemas.openxmlformats.org/officeDocument/2006/relationships/hyperlink" Target="https://cookiepdf-v2-assests.s3.ap-south-1.amazonaws.com/NCT+OF+Delhi/CENTRAL/3+-+TIMARPUR_178/2025-EROLLGEN-U05-3-FinalRoll-Revision1-ENG-68-WI.pdf" TargetMode="External"/><Relationship Id="rId769" Type="http://schemas.openxmlformats.org/officeDocument/2006/relationships/hyperlink" Target="https://cookiepdf-v2-assests.s3.ap-south-1.amazonaws.com/NCT+OF+Delhi/CENTRAL/3+-+TIMARPUR_178/2025-EROLLGEN-U05-3-FinalRoll-Revision1-ENG-166-WI.pdf" TargetMode="External"/><Relationship Id="rId21" Type="http://schemas.openxmlformats.org/officeDocument/2006/relationships/hyperlink" Target="https://cookiepdf-v2-assests.s3.ap-south-1.amazonaws.com/NCT+OF+Delhi/NORTH/1+-+NERELA_295/2025-EROLLGEN-U05-1-FinalRoll-Revision1-ENG-21-WI.pdf" TargetMode="External"/><Relationship Id="rId324" Type="http://schemas.openxmlformats.org/officeDocument/2006/relationships/hyperlink" Target="https://cookiepdf-v2-assests.s3.ap-south-1.amazonaws.com/NCT+OF+Delhi/CENTRAL/2+-+BURARI_324/2025-EROLLGEN-U05-2-FinalRoll-Revision1-ENG-29-WI.pdf" TargetMode="External"/><Relationship Id="rId531" Type="http://schemas.openxmlformats.org/officeDocument/2006/relationships/hyperlink" Target="https://cookiepdf-v2-assests.s3.ap-south-1.amazonaws.com/NCT+OF+Delhi/CENTRAL/2+-+BURARI_324/2025-EROLLGEN-U05-2-FinalRoll-Revision1-ENG-236-WI.pdf" TargetMode="External"/><Relationship Id="rId629" Type="http://schemas.openxmlformats.org/officeDocument/2006/relationships/hyperlink" Target="https://cookiepdf-v2-assests.s3.ap-south-1.amazonaws.com/NCT+OF+Delhi/CENTRAL/3+-+TIMARPUR_178/2025-EROLLGEN-U05-3-FinalRoll-Revision1-ENG-26-WI.pdf" TargetMode="External"/><Relationship Id="rId170" Type="http://schemas.openxmlformats.org/officeDocument/2006/relationships/hyperlink" Target="https://cookiepdf-v2-assests.s3.ap-south-1.amazonaws.com/NCT+OF+Delhi/NORTH/1+-+NERELA_295/2025-EROLLGEN-U05-1-FinalRoll-Revision1-ENG-170-WI.pdf" TargetMode="External"/><Relationship Id="rId268" Type="http://schemas.openxmlformats.org/officeDocument/2006/relationships/hyperlink" Target="https://cookiepdf-v2-assests.s3.ap-south-1.amazonaws.com/NCT+OF+Delhi/NORTH/1+-+NERELA_295/2025-EROLLGEN-U05-1-FinalRoll-Revision1-ENG-268-WI.pdf" TargetMode="External"/><Relationship Id="rId475" Type="http://schemas.openxmlformats.org/officeDocument/2006/relationships/hyperlink" Target="https://cookiepdf-v2-assests.s3.ap-south-1.amazonaws.com/NCT+OF+Delhi/CENTRAL/2+-+BURARI_324/2025-EROLLGEN-U05-2-FinalRoll-Revision1-ENG-180-WI.pdf" TargetMode="External"/><Relationship Id="rId682" Type="http://schemas.openxmlformats.org/officeDocument/2006/relationships/hyperlink" Target="https://cookiepdf-v2-assests.s3.ap-south-1.amazonaws.com/NCT+OF+Delhi/CENTRAL/3+-+TIMARPUR_178/2025-EROLLGEN-U05-3-FinalRoll-Revision1-ENG-79-WI.pdf" TargetMode="External"/><Relationship Id="rId32" Type="http://schemas.openxmlformats.org/officeDocument/2006/relationships/hyperlink" Target="https://cookiepdf-v2-assests.s3.ap-south-1.amazonaws.com/NCT+OF+Delhi/NORTH/1+-+NERELA_295/2025-EROLLGEN-U05-1-FinalRoll-Revision1-ENG-32-WI.pdf" TargetMode="External"/><Relationship Id="rId128" Type="http://schemas.openxmlformats.org/officeDocument/2006/relationships/hyperlink" Target="https://cookiepdf-v2-assests.s3.ap-south-1.amazonaws.com/NCT+OF+Delhi/NORTH/1+-+NERELA_295/2025-EROLLGEN-U05-1-FinalRoll-Revision1-ENG-128-WI.pdf" TargetMode="External"/><Relationship Id="rId335" Type="http://schemas.openxmlformats.org/officeDocument/2006/relationships/hyperlink" Target="https://cookiepdf-v2-assests.s3.ap-south-1.amazonaws.com/NCT+OF+Delhi/CENTRAL/2+-+BURARI_324/2025-EROLLGEN-U05-2-FinalRoll-Revision1-ENG-40-WI.pdf" TargetMode="External"/><Relationship Id="rId542" Type="http://schemas.openxmlformats.org/officeDocument/2006/relationships/hyperlink" Target="https://cookiepdf-v2-assests.s3.ap-south-1.amazonaws.com/NCT+OF+Delhi/CENTRAL/2+-+BURARI_324/2025-EROLLGEN-U05-2-FinalRoll-Revision1-ENG-247-WI.pdf" TargetMode="External"/><Relationship Id="rId181" Type="http://schemas.openxmlformats.org/officeDocument/2006/relationships/hyperlink" Target="https://cookiepdf-v2-assests.s3.ap-south-1.amazonaws.com/NCT+OF+Delhi/NORTH/1+-+NERELA_295/2025-EROLLGEN-U05-1-FinalRoll-Revision1-ENG-181-WI.pdf" TargetMode="External"/><Relationship Id="rId402" Type="http://schemas.openxmlformats.org/officeDocument/2006/relationships/hyperlink" Target="https://cookiepdf-v2-assests.s3.ap-south-1.amazonaws.com/NCT+OF+Delhi/CENTRAL/2+-+BURARI_324/2025-EROLLGEN-U05-2-FinalRoll-Revision1-ENG-107-WI.pdf" TargetMode="External"/><Relationship Id="rId279" Type="http://schemas.openxmlformats.org/officeDocument/2006/relationships/hyperlink" Target="https://cookiepdf-v2-assests.s3.ap-south-1.amazonaws.com/NCT+OF+Delhi/NORTH/1+-+NERELA_295/2025-EROLLGEN-U05-1-FinalRoll-Revision1-ENG-279-WI.pdf" TargetMode="External"/><Relationship Id="rId486" Type="http://schemas.openxmlformats.org/officeDocument/2006/relationships/hyperlink" Target="https://cookiepdf-v2-assests.s3.ap-south-1.amazonaws.com/NCT+OF+Delhi/CENTRAL/2+-+BURARI_324/2025-EROLLGEN-U05-2-FinalRoll-Revision1-ENG-191-WI.pdf" TargetMode="External"/><Relationship Id="rId693" Type="http://schemas.openxmlformats.org/officeDocument/2006/relationships/hyperlink" Target="https://cookiepdf-v2-assests.s3.ap-south-1.amazonaws.com/NCT+OF+Delhi/CENTRAL/3+-+TIMARPUR_178/2025-EROLLGEN-U05-3-FinalRoll-Revision1-ENG-90-WI.pdf" TargetMode="External"/><Relationship Id="rId707" Type="http://schemas.openxmlformats.org/officeDocument/2006/relationships/hyperlink" Target="https://cookiepdf-v2-assests.s3.ap-south-1.amazonaws.com/NCT+OF+Delhi/CENTRAL/3+-+TIMARPUR_178/2025-EROLLGEN-U05-3-FinalRoll-Revision1-ENG-104-WI.pdf" TargetMode="External"/><Relationship Id="rId43" Type="http://schemas.openxmlformats.org/officeDocument/2006/relationships/hyperlink" Target="https://cookiepdf-v2-assests.s3.ap-south-1.amazonaws.com/NCT+OF+Delhi/NORTH/1+-+NERELA_295/2025-EROLLGEN-U05-1-FinalRoll-Revision1-ENG-43-WI.pdf" TargetMode="External"/><Relationship Id="rId139" Type="http://schemas.openxmlformats.org/officeDocument/2006/relationships/hyperlink" Target="https://cookiepdf-v2-assests.s3.ap-south-1.amazonaws.com/NCT+OF+Delhi/NORTH/1+-+NERELA_295/2025-EROLLGEN-U05-1-FinalRoll-Revision1-ENG-139-WI.pdf" TargetMode="External"/><Relationship Id="rId346" Type="http://schemas.openxmlformats.org/officeDocument/2006/relationships/hyperlink" Target="https://cookiepdf-v2-assests.s3.ap-south-1.amazonaws.com/NCT+OF+Delhi/CENTRAL/2+-+BURARI_324/2025-EROLLGEN-U05-2-FinalRoll-Revision1-ENG-51-WI.pdf" TargetMode="External"/><Relationship Id="rId553" Type="http://schemas.openxmlformats.org/officeDocument/2006/relationships/hyperlink" Target="https://cookiepdf-v2-assests.s3.ap-south-1.amazonaws.com/NCT+OF+Delhi/CENTRAL/2+-+BURARI_324/2025-EROLLGEN-U05-2-FinalRoll-Revision1-ENG-258-WI.pdf" TargetMode="External"/><Relationship Id="rId760" Type="http://schemas.openxmlformats.org/officeDocument/2006/relationships/hyperlink" Target="https://cookiepdf-v2-assests.s3.ap-south-1.amazonaws.com/NCT+OF+Delhi/CENTRAL/3+-+TIMARPUR_178/2025-EROLLGEN-U05-3-FinalRoll-Revision1-ENG-157-WI.pdf" TargetMode="External"/><Relationship Id="rId192" Type="http://schemas.openxmlformats.org/officeDocument/2006/relationships/hyperlink" Target="https://cookiepdf-v2-assests.s3.ap-south-1.amazonaws.com/NCT+OF+Delhi/NORTH/1+-+NERELA_295/2025-EROLLGEN-U05-1-FinalRoll-Revision1-ENG-192-WI.pdf" TargetMode="External"/><Relationship Id="rId206" Type="http://schemas.openxmlformats.org/officeDocument/2006/relationships/hyperlink" Target="https://cookiepdf-v2-assests.s3.ap-south-1.amazonaws.com/NCT+OF+Delhi/NORTH/1+-+NERELA_295/2025-EROLLGEN-U05-1-FinalRoll-Revision1-ENG-206-WI.pdf" TargetMode="External"/><Relationship Id="rId413" Type="http://schemas.openxmlformats.org/officeDocument/2006/relationships/hyperlink" Target="https://cookiepdf-v2-assests.s3.ap-south-1.amazonaws.com/NCT+OF+Delhi/CENTRAL/2+-+BURARI_324/2025-EROLLGEN-U05-2-FinalRoll-Revision1-ENG-118-WI.pdf" TargetMode="External"/><Relationship Id="rId497" Type="http://schemas.openxmlformats.org/officeDocument/2006/relationships/hyperlink" Target="https://cookiepdf-v2-assests.s3.ap-south-1.amazonaws.com/NCT+OF+Delhi/CENTRAL/2+-+BURARI_324/2025-EROLLGEN-U05-2-FinalRoll-Revision1-ENG-202-WI.pdf" TargetMode="External"/><Relationship Id="rId620" Type="http://schemas.openxmlformats.org/officeDocument/2006/relationships/hyperlink" Target="https://cookiepdf-v2-assests.s3.ap-south-1.amazonaws.com/NCT+OF+Delhi/CENTRAL/3+-+TIMARPUR_178/2025-EROLLGEN-U05-3-FinalRoll-Revision1-ENG-17-WI.pdf" TargetMode="External"/><Relationship Id="rId718" Type="http://schemas.openxmlformats.org/officeDocument/2006/relationships/hyperlink" Target="https://cookiepdf-v2-assests.s3.ap-south-1.amazonaws.com/NCT+OF+Delhi/CENTRAL/3+-+TIMARPUR_178/2025-EROLLGEN-U05-3-FinalRoll-Revision1-ENG-115-WI.pdf" TargetMode="External"/><Relationship Id="rId357" Type="http://schemas.openxmlformats.org/officeDocument/2006/relationships/hyperlink" Target="https://cookiepdf-v2-assests.s3.ap-south-1.amazonaws.com/NCT+OF+Delhi/CENTRAL/2+-+BURARI_324/2025-EROLLGEN-U05-2-FinalRoll-Revision1-ENG-62-WI.pdf" TargetMode="External"/><Relationship Id="rId54" Type="http://schemas.openxmlformats.org/officeDocument/2006/relationships/hyperlink" Target="https://cookiepdf-v2-assests.s3.ap-south-1.amazonaws.com/NCT+OF+Delhi/NORTH/1+-+NERELA_295/2025-EROLLGEN-U05-1-FinalRoll-Revision1-ENG-54-WI.pdf" TargetMode="External"/><Relationship Id="rId217" Type="http://schemas.openxmlformats.org/officeDocument/2006/relationships/hyperlink" Target="https://cookiepdf-v2-assests.s3.ap-south-1.amazonaws.com/NCT+OF+Delhi/NORTH/1+-+NERELA_295/2025-EROLLGEN-U05-1-FinalRoll-Revision1-ENG-217-WI.pdf" TargetMode="External"/><Relationship Id="rId564" Type="http://schemas.openxmlformats.org/officeDocument/2006/relationships/hyperlink" Target="https://cookiepdf-v2-assests.s3.ap-south-1.amazonaws.com/NCT+OF+Delhi/CENTRAL/2+-+BURARI_324/2025-EROLLGEN-U05-2-FinalRoll-Revision1-ENG-269-WI.pdf" TargetMode="External"/><Relationship Id="rId771" Type="http://schemas.openxmlformats.org/officeDocument/2006/relationships/hyperlink" Target="https://cookiepdf-v2-assests.s3.ap-south-1.amazonaws.com/NCT+OF+Delhi/CENTRAL/3+-+TIMARPUR_178/2025-EROLLGEN-U05-3-FinalRoll-Revision1-ENG-168-WI.pdf" TargetMode="External"/><Relationship Id="rId424" Type="http://schemas.openxmlformats.org/officeDocument/2006/relationships/hyperlink" Target="https://cookiepdf-v2-assests.s3.ap-south-1.amazonaws.com/NCT+OF+Delhi/CENTRAL/2+-+BURARI_324/2025-EROLLGEN-U05-2-FinalRoll-Revision1-ENG-129-WI.pdf" TargetMode="External"/><Relationship Id="rId631" Type="http://schemas.openxmlformats.org/officeDocument/2006/relationships/hyperlink" Target="https://cookiepdf-v2-assests.s3.ap-south-1.amazonaws.com/NCT+OF+Delhi/CENTRAL/3+-+TIMARPUR_178/2025-EROLLGEN-U05-3-FinalRoll-Revision1-ENG-28-WI.pdf" TargetMode="External"/><Relationship Id="rId729" Type="http://schemas.openxmlformats.org/officeDocument/2006/relationships/hyperlink" Target="https://cookiepdf-v2-assests.s3.ap-south-1.amazonaws.com/NCT+OF+Delhi/CENTRAL/3+-+TIMARPUR_178/2025-EROLLGEN-U05-3-FinalRoll-Revision1-ENG-126-WI.pdf" TargetMode="External"/><Relationship Id="rId270" Type="http://schemas.openxmlformats.org/officeDocument/2006/relationships/hyperlink" Target="https://cookiepdf-v2-assests.s3.ap-south-1.amazonaws.com/NCT+OF+Delhi/NORTH/1+-+NERELA_295/2025-EROLLGEN-U05-1-FinalRoll-Revision1-ENG-270-WI.pdf" TargetMode="External"/><Relationship Id="rId65" Type="http://schemas.openxmlformats.org/officeDocument/2006/relationships/hyperlink" Target="https://cookiepdf-v2-assests.s3.ap-south-1.amazonaws.com/NCT+OF+Delhi/NORTH/1+-+NERELA_295/2025-EROLLGEN-U05-1-FinalRoll-Revision1-ENG-65-WI.pdf" TargetMode="External"/><Relationship Id="rId130" Type="http://schemas.openxmlformats.org/officeDocument/2006/relationships/hyperlink" Target="https://cookiepdf-v2-assests.s3.ap-south-1.amazonaws.com/NCT+OF+Delhi/NORTH/1+-+NERELA_295/2025-EROLLGEN-U05-1-FinalRoll-Revision1-ENG-130-WI.pdf" TargetMode="External"/><Relationship Id="rId368" Type="http://schemas.openxmlformats.org/officeDocument/2006/relationships/hyperlink" Target="https://cookiepdf-v2-assests.s3.ap-south-1.amazonaws.com/NCT+OF+Delhi/CENTRAL/2+-+BURARI_324/2025-EROLLGEN-U05-2-FinalRoll-Revision1-ENG-73-WI.pdf" TargetMode="External"/><Relationship Id="rId575" Type="http://schemas.openxmlformats.org/officeDocument/2006/relationships/hyperlink" Target="https://cookiepdf-v2-assests.s3.ap-south-1.amazonaws.com/NCT+OF+Delhi/CENTRAL/2+-+BURARI_324/2025-EROLLGEN-U05-2-FinalRoll-Revision1-ENG-280-WI.pdf" TargetMode="External"/><Relationship Id="rId782" Type="http://schemas.openxmlformats.org/officeDocument/2006/relationships/printerSettings" Target="../printerSettings/printerSettings1.bin"/><Relationship Id="rId228" Type="http://schemas.openxmlformats.org/officeDocument/2006/relationships/hyperlink" Target="https://cookiepdf-v2-assests.s3.ap-south-1.amazonaws.com/NCT+OF+Delhi/NORTH/1+-+NERELA_295/2025-EROLLGEN-U05-1-FinalRoll-Revision1-ENG-228-WI.pdf" TargetMode="External"/><Relationship Id="rId435" Type="http://schemas.openxmlformats.org/officeDocument/2006/relationships/hyperlink" Target="https://cookiepdf-v2-assests.s3.ap-south-1.amazonaws.com/NCT+OF+Delhi/CENTRAL/2+-+BURARI_324/2025-EROLLGEN-U05-2-FinalRoll-Revision1-ENG-140-WI.pdf" TargetMode="External"/><Relationship Id="rId642" Type="http://schemas.openxmlformats.org/officeDocument/2006/relationships/hyperlink" Target="https://cookiepdf-v2-assests.s3.ap-south-1.amazonaws.com/NCT+OF+Delhi/CENTRAL/3+-+TIMARPUR_178/2025-EROLLGEN-U05-3-FinalRoll-Revision1-ENG-39-WI.pdf" TargetMode="External"/><Relationship Id="rId281" Type="http://schemas.openxmlformats.org/officeDocument/2006/relationships/hyperlink" Target="https://cookiepdf-v2-assests.s3.ap-south-1.amazonaws.com/NCT+OF+Delhi/NORTH/1+-+NERELA_295/2025-EROLLGEN-U05-1-FinalRoll-Revision1-ENG-281-WI.pdf" TargetMode="External"/><Relationship Id="rId502" Type="http://schemas.openxmlformats.org/officeDocument/2006/relationships/hyperlink" Target="https://cookiepdf-v2-assests.s3.ap-south-1.amazonaws.com/NCT+OF+Delhi/CENTRAL/2+-+BURARI_324/2025-EROLLGEN-U05-2-FinalRoll-Revision1-ENG-207-WI.pdf" TargetMode="External"/><Relationship Id="rId76" Type="http://schemas.openxmlformats.org/officeDocument/2006/relationships/hyperlink" Target="https://cookiepdf-v2-assests.s3.ap-south-1.amazonaws.com/NCT+OF+Delhi/NORTH/1+-+NERELA_295/2025-EROLLGEN-U05-1-FinalRoll-Revision1-ENG-76-WI.pdf" TargetMode="External"/><Relationship Id="rId141" Type="http://schemas.openxmlformats.org/officeDocument/2006/relationships/hyperlink" Target="https://cookiepdf-v2-assests.s3.ap-south-1.amazonaws.com/NCT+OF+Delhi/NORTH/1+-+NERELA_295/2025-EROLLGEN-U05-1-FinalRoll-Revision1-ENG-141-WI.pdf" TargetMode="External"/><Relationship Id="rId379" Type="http://schemas.openxmlformats.org/officeDocument/2006/relationships/hyperlink" Target="https://cookiepdf-v2-assests.s3.ap-south-1.amazonaws.com/NCT+OF+Delhi/CENTRAL/2+-+BURARI_324/2025-EROLLGEN-U05-2-FinalRoll-Revision1-ENG-84-WI.pdf" TargetMode="External"/><Relationship Id="rId586" Type="http://schemas.openxmlformats.org/officeDocument/2006/relationships/hyperlink" Target="https://cookiepdf-v2-assests.s3.ap-south-1.amazonaws.com/NCT+OF+Delhi/CENTRAL/2+-+BURARI_324/2025-EROLLGEN-U05-2-FinalRoll-Revision1-ENG-291-WI.pdf" TargetMode="External"/><Relationship Id="rId7" Type="http://schemas.openxmlformats.org/officeDocument/2006/relationships/hyperlink" Target="https://cookiepdf-v2-assests.s3.ap-south-1.amazonaws.com/NCT+OF+Delhi/NORTH/1+-+NERELA_295/2025-EROLLGEN-U05-1-FinalRoll-Revision1-ENG-7-WI.pdf" TargetMode="External"/><Relationship Id="rId239" Type="http://schemas.openxmlformats.org/officeDocument/2006/relationships/hyperlink" Target="https://cookiepdf-v2-assests.s3.ap-south-1.amazonaws.com/NCT+OF+Delhi/NORTH/1+-+NERELA_295/2025-EROLLGEN-U05-1-FinalRoll-Revision1-ENG-239-WI.pdf" TargetMode="External"/><Relationship Id="rId446" Type="http://schemas.openxmlformats.org/officeDocument/2006/relationships/hyperlink" Target="https://cookiepdf-v2-assests.s3.ap-south-1.amazonaws.com/NCT+OF+Delhi/CENTRAL/2+-+BURARI_324/2025-EROLLGEN-U05-2-FinalRoll-Revision1-ENG-151-WI.pdf" TargetMode="External"/><Relationship Id="rId653" Type="http://schemas.openxmlformats.org/officeDocument/2006/relationships/hyperlink" Target="https://cookiepdf-v2-assests.s3.ap-south-1.amazonaws.com/NCT+OF+Delhi/CENTRAL/3+-+TIMARPUR_178/2025-EROLLGEN-U05-3-FinalRoll-Revision1-ENG-50-WI.pdf" TargetMode="External"/><Relationship Id="rId292" Type="http://schemas.openxmlformats.org/officeDocument/2006/relationships/hyperlink" Target="https://cookiepdf-v2-assests.s3.ap-south-1.amazonaws.com/NCT+OF+Delhi/NORTH/1+-+NERELA_295/2025-EROLLGEN-U05-1-FinalRoll-Revision1-ENG-292-WI.pdf" TargetMode="External"/><Relationship Id="rId306" Type="http://schemas.openxmlformats.org/officeDocument/2006/relationships/hyperlink" Target="https://cookiepdf-v2-assests.s3.ap-south-1.amazonaws.com/NCT+OF+Delhi/CENTRAL/2+-+BURARI_324/2025-EROLLGEN-U05-2-FinalRoll-Revision1-ENG-11-WI.pdf" TargetMode="External"/><Relationship Id="rId87" Type="http://schemas.openxmlformats.org/officeDocument/2006/relationships/hyperlink" Target="https://cookiepdf-v2-assests.s3.ap-south-1.amazonaws.com/NCT+OF+Delhi/NORTH/1+-+NERELA_295/2025-EROLLGEN-U05-1-FinalRoll-Revision1-ENG-87-WI.pdf" TargetMode="External"/><Relationship Id="rId513" Type="http://schemas.openxmlformats.org/officeDocument/2006/relationships/hyperlink" Target="https://cookiepdf-v2-assests.s3.ap-south-1.amazonaws.com/NCT+OF+Delhi/CENTRAL/2+-+BURARI_324/2025-EROLLGEN-U05-2-FinalRoll-Revision1-ENG-218-WI.pdf" TargetMode="External"/><Relationship Id="rId597" Type="http://schemas.openxmlformats.org/officeDocument/2006/relationships/hyperlink" Target="https://cookiepdf-v2-assests.s3.ap-south-1.amazonaws.com/NCT+OF+Delhi/CENTRAL/2+-+BURARI_324/2025-EROLLGEN-U05-2-FinalRoll-Revision1-ENG-302-WI.pdf" TargetMode="External"/><Relationship Id="rId720" Type="http://schemas.openxmlformats.org/officeDocument/2006/relationships/hyperlink" Target="https://cookiepdf-v2-assests.s3.ap-south-1.amazonaws.com/NCT+OF+Delhi/CENTRAL/3+-+TIMARPUR_178/2025-EROLLGEN-U05-3-FinalRoll-Revision1-ENG-117-WI.pdf" TargetMode="External"/><Relationship Id="rId152" Type="http://schemas.openxmlformats.org/officeDocument/2006/relationships/hyperlink" Target="https://cookiepdf-v2-assests.s3.ap-south-1.amazonaws.com/NCT+OF+Delhi/NORTH/1+-+NERELA_295/2025-EROLLGEN-U05-1-FinalRoll-Revision1-ENG-152-WI.pdf" TargetMode="External"/><Relationship Id="rId457" Type="http://schemas.openxmlformats.org/officeDocument/2006/relationships/hyperlink" Target="https://cookiepdf-v2-assests.s3.ap-south-1.amazonaws.com/NCT+OF+Delhi/CENTRAL/2+-+BURARI_324/2025-EROLLGEN-U05-2-FinalRoll-Revision1-ENG-162-WI.pdf" TargetMode="External"/><Relationship Id="rId664" Type="http://schemas.openxmlformats.org/officeDocument/2006/relationships/hyperlink" Target="https://cookiepdf-v2-assests.s3.ap-south-1.amazonaws.com/NCT+OF+Delhi/CENTRAL/3+-+TIMARPUR_178/2025-EROLLGEN-U05-3-FinalRoll-Revision1-ENG-61-WI.pdf" TargetMode="External"/><Relationship Id="rId14" Type="http://schemas.openxmlformats.org/officeDocument/2006/relationships/hyperlink" Target="https://cookiepdf-v2-assests.s3.ap-south-1.amazonaws.com/NCT+OF+Delhi/NORTH/1+-+NERELA_295/2025-EROLLGEN-U05-1-FinalRoll-Revision1-ENG-14-WI.pdf" TargetMode="External"/><Relationship Id="rId317" Type="http://schemas.openxmlformats.org/officeDocument/2006/relationships/hyperlink" Target="https://cookiepdf-v2-assests.s3.ap-south-1.amazonaws.com/NCT+OF+Delhi/CENTRAL/2+-+BURARI_324/2025-EROLLGEN-U05-2-FinalRoll-Revision1-ENG-22-WI.pdf" TargetMode="External"/><Relationship Id="rId524" Type="http://schemas.openxmlformats.org/officeDocument/2006/relationships/hyperlink" Target="https://cookiepdf-v2-assests.s3.ap-south-1.amazonaws.com/NCT+OF+Delhi/CENTRAL/2+-+BURARI_324/2025-EROLLGEN-U05-2-FinalRoll-Revision1-ENG-229-WI.pdf" TargetMode="External"/><Relationship Id="rId731" Type="http://schemas.openxmlformats.org/officeDocument/2006/relationships/hyperlink" Target="https://cookiepdf-v2-assests.s3.ap-south-1.amazonaws.com/NCT+OF+Delhi/CENTRAL/3+-+TIMARPUR_178/2025-EROLLGEN-U05-3-FinalRoll-Revision1-ENG-128-WI.pdf" TargetMode="External"/><Relationship Id="rId98" Type="http://schemas.openxmlformats.org/officeDocument/2006/relationships/hyperlink" Target="https://cookiepdf-v2-assests.s3.ap-south-1.amazonaws.com/NCT+OF+Delhi/NORTH/1+-+NERELA_295/2025-EROLLGEN-U05-1-FinalRoll-Revision1-ENG-98-WI.pdf" TargetMode="External"/><Relationship Id="rId163" Type="http://schemas.openxmlformats.org/officeDocument/2006/relationships/hyperlink" Target="https://cookiepdf-v2-assests.s3.ap-south-1.amazonaws.com/NCT+OF+Delhi/NORTH/1+-+NERELA_295/2025-EROLLGEN-U05-1-FinalRoll-Revision1-ENG-163-WI.pdf" TargetMode="External"/><Relationship Id="rId370" Type="http://schemas.openxmlformats.org/officeDocument/2006/relationships/hyperlink" Target="https://cookiepdf-v2-assests.s3.ap-south-1.amazonaws.com/NCT+OF+Delhi/CENTRAL/2+-+BURARI_324/2025-EROLLGEN-U05-2-FinalRoll-Revision1-ENG-75-WI.pdf" TargetMode="External"/><Relationship Id="rId230" Type="http://schemas.openxmlformats.org/officeDocument/2006/relationships/hyperlink" Target="https://cookiepdf-v2-assests.s3.ap-south-1.amazonaws.com/NCT+OF+Delhi/NORTH/1+-+NERELA_295/2025-EROLLGEN-U05-1-FinalRoll-Revision1-ENG-230-WI.pdf" TargetMode="External"/><Relationship Id="rId468" Type="http://schemas.openxmlformats.org/officeDocument/2006/relationships/hyperlink" Target="https://cookiepdf-v2-assests.s3.ap-south-1.amazonaws.com/NCT+OF+Delhi/CENTRAL/2+-+BURARI_324/2025-EROLLGEN-U05-2-FinalRoll-Revision1-ENG-173-WI.pdf" TargetMode="External"/><Relationship Id="rId675" Type="http://schemas.openxmlformats.org/officeDocument/2006/relationships/hyperlink" Target="https://cookiepdf-v2-assests.s3.ap-south-1.amazonaws.com/NCT+OF+Delhi/CENTRAL/3+-+TIMARPUR_178/2025-EROLLGEN-U05-3-FinalRoll-Revision1-ENG-72-WI.pdf" TargetMode="External"/><Relationship Id="rId25" Type="http://schemas.openxmlformats.org/officeDocument/2006/relationships/hyperlink" Target="https://cookiepdf-v2-assests.s3.ap-south-1.amazonaws.com/NCT+OF+Delhi/NORTH/1+-+NERELA_295/2025-EROLLGEN-U05-1-FinalRoll-Revision1-ENG-25-WI.pdf" TargetMode="External"/><Relationship Id="rId328" Type="http://schemas.openxmlformats.org/officeDocument/2006/relationships/hyperlink" Target="https://cookiepdf-v2-assests.s3.ap-south-1.amazonaws.com/NCT+OF+Delhi/CENTRAL/2+-+BURARI_324/2025-EROLLGEN-U05-2-FinalRoll-Revision1-ENG-33-WI.pdf" TargetMode="External"/><Relationship Id="rId535" Type="http://schemas.openxmlformats.org/officeDocument/2006/relationships/hyperlink" Target="https://cookiepdf-v2-assests.s3.ap-south-1.amazonaws.com/NCT+OF+Delhi/CENTRAL/2+-+BURARI_324/2025-EROLLGEN-U05-2-FinalRoll-Revision1-ENG-240-WI.pdf" TargetMode="External"/><Relationship Id="rId742" Type="http://schemas.openxmlformats.org/officeDocument/2006/relationships/hyperlink" Target="https://cookiepdf-v2-assests.s3.ap-south-1.amazonaws.com/NCT+OF+Delhi/CENTRAL/3+-+TIMARPUR_178/2025-EROLLGEN-U05-3-FinalRoll-Revision1-ENG-139-WI.pdf" TargetMode="External"/><Relationship Id="rId174" Type="http://schemas.openxmlformats.org/officeDocument/2006/relationships/hyperlink" Target="https://cookiepdf-v2-assests.s3.ap-south-1.amazonaws.com/NCT+OF+Delhi/NORTH/1+-+NERELA_295/2025-EROLLGEN-U05-1-FinalRoll-Revision1-ENG-174-WI.pdf" TargetMode="External"/><Relationship Id="rId381" Type="http://schemas.openxmlformats.org/officeDocument/2006/relationships/hyperlink" Target="https://cookiepdf-v2-assests.s3.ap-south-1.amazonaws.com/NCT+OF+Delhi/CENTRAL/2+-+BURARI_324/2025-EROLLGEN-U05-2-FinalRoll-Revision1-ENG-86-WI.pdf" TargetMode="External"/><Relationship Id="rId602" Type="http://schemas.openxmlformats.org/officeDocument/2006/relationships/hyperlink" Target="https://cookiepdf-v2-assests.s3.ap-south-1.amazonaws.com/NCT+OF+Delhi/CENTRAL/2+-+BURARI_324/2025-EROLLGEN-U05-2-FinalRoll-Revision1-ENG-307-WI.pdf" TargetMode="External"/><Relationship Id="rId241" Type="http://schemas.openxmlformats.org/officeDocument/2006/relationships/hyperlink" Target="https://cookiepdf-v2-assests.s3.ap-south-1.amazonaws.com/NCT+OF+Delhi/NORTH/1+-+NERELA_295/2025-EROLLGEN-U05-1-FinalRoll-Revision1-ENG-241-WI.pdf" TargetMode="External"/><Relationship Id="rId479" Type="http://schemas.openxmlformats.org/officeDocument/2006/relationships/hyperlink" Target="https://cookiepdf-v2-assests.s3.ap-south-1.amazonaws.com/NCT+OF+Delhi/CENTRAL/2+-+BURARI_324/2025-EROLLGEN-U05-2-FinalRoll-Revision1-ENG-184-WI.pdf" TargetMode="External"/><Relationship Id="rId686" Type="http://schemas.openxmlformats.org/officeDocument/2006/relationships/hyperlink" Target="https://cookiepdf-v2-assests.s3.ap-south-1.amazonaws.com/NCT+OF+Delhi/CENTRAL/3+-+TIMARPUR_178/2025-EROLLGEN-U05-3-FinalRoll-Revision1-ENG-83-WI.pdf" TargetMode="External"/><Relationship Id="rId36" Type="http://schemas.openxmlformats.org/officeDocument/2006/relationships/hyperlink" Target="https://cookiepdf-v2-assests.s3.ap-south-1.amazonaws.com/NCT+OF+Delhi/NORTH/1+-+NERELA_295/2025-EROLLGEN-U05-1-FinalRoll-Revision1-ENG-36-WI.pdf" TargetMode="External"/><Relationship Id="rId339" Type="http://schemas.openxmlformats.org/officeDocument/2006/relationships/hyperlink" Target="https://cookiepdf-v2-assests.s3.ap-south-1.amazonaws.com/NCT+OF+Delhi/CENTRAL/2+-+BURARI_324/2025-EROLLGEN-U05-2-FinalRoll-Revision1-ENG-44-WI.pdf" TargetMode="External"/><Relationship Id="rId546" Type="http://schemas.openxmlformats.org/officeDocument/2006/relationships/hyperlink" Target="https://cookiepdf-v2-assests.s3.ap-south-1.amazonaws.com/NCT+OF+Delhi/CENTRAL/2+-+BURARI_324/2025-EROLLGEN-U05-2-FinalRoll-Revision1-ENG-251-WI.pdf" TargetMode="External"/><Relationship Id="rId753" Type="http://schemas.openxmlformats.org/officeDocument/2006/relationships/hyperlink" Target="https://cookiepdf-v2-assests.s3.ap-south-1.amazonaws.com/NCT+OF+Delhi/CENTRAL/3+-+TIMARPUR_178/2025-EROLLGEN-U05-3-FinalRoll-Revision1-ENG-150-WI.pdf" TargetMode="External"/><Relationship Id="rId101" Type="http://schemas.openxmlformats.org/officeDocument/2006/relationships/hyperlink" Target="https://cookiepdf-v2-assests.s3.ap-south-1.amazonaws.com/NCT+OF+Delhi/NORTH/1+-+NERELA_295/2025-EROLLGEN-U05-1-FinalRoll-Revision1-ENG-101-WI.pdf" TargetMode="External"/><Relationship Id="rId185" Type="http://schemas.openxmlformats.org/officeDocument/2006/relationships/hyperlink" Target="https://cookiepdf-v2-assests.s3.ap-south-1.amazonaws.com/NCT+OF+Delhi/NORTH/1+-+NERELA_295/2025-EROLLGEN-U05-1-FinalRoll-Revision1-ENG-185-WI.pdf" TargetMode="External"/><Relationship Id="rId406" Type="http://schemas.openxmlformats.org/officeDocument/2006/relationships/hyperlink" Target="https://cookiepdf-v2-assests.s3.ap-south-1.amazonaws.com/NCT+OF+Delhi/CENTRAL/2+-+BURARI_324/2025-EROLLGEN-U05-2-FinalRoll-Revision1-ENG-111-WI.pdf" TargetMode="External"/><Relationship Id="rId392" Type="http://schemas.openxmlformats.org/officeDocument/2006/relationships/hyperlink" Target="https://cookiepdf-v2-assests.s3.ap-south-1.amazonaws.com/NCT+OF+Delhi/CENTRAL/2+-+BURARI_324/2025-EROLLGEN-U05-2-FinalRoll-Revision1-ENG-97-WI.pdf" TargetMode="External"/><Relationship Id="rId613" Type="http://schemas.openxmlformats.org/officeDocument/2006/relationships/hyperlink" Target="https://cookiepdf-v2-assests.s3.ap-south-1.amazonaws.com/NCT+OF+Delhi/CENTRAL/3+-+TIMARPUR_178/2025-EROLLGEN-U05-3-FinalRoll-Revision1-ENG-10-WI.pdf" TargetMode="External"/><Relationship Id="rId697" Type="http://schemas.openxmlformats.org/officeDocument/2006/relationships/hyperlink" Target="https://cookiepdf-v2-assests.s3.ap-south-1.amazonaws.com/NCT+OF+Delhi/CENTRAL/3+-+TIMARPUR_178/2025-EROLLGEN-U05-3-FinalRoll-Revision1-ENG-94-WI.pdf" TargetMode="External"/><Relationship Id="rId252" Type="http://schemas.openxmlformats.org/officeDocument/2006/relationships/hyperlink" Target="https://cookiepdf-v2-assests.s3.ap-south-1.amazonaws.com/NCT+OF+Delhi/NORTH/1+-+NERELA_295/2025-EROLLGEN-U05-1-FinalRoll-Revision1-ENG-252-WI.pdf" TargetMode="External"/><Relationship Id="rId47" Type="http://schemas.openxmlformats.org/officeDocument/2006/relationships/hyperlink" Target="https://cookiepdf-v2-assests.s3.ap-south-1.amazonaws.com/NCT+OF+Delhi/NORTH/1+-+NERELA_295/2025-EROLLGEN-U05-1-FinalRoll-Revision1-ENG-47-WI.pdf" TargetMode="External"/><Relationship Id="rId112" Type="http://schemas.openxmlformats.org/officeDocument/2006/relationships/hyperlink" Target="https://cookiepdf-v2-assests.s3.ap-south-1.amazonaws.com/NCT+OF+Delhi/NORTH/1+-+NERELA_295/2025-EROLLGEN-U05-1-FinalRoll-Revision1-ENG-112-WI.pdf" TargetMode="External"/><Relationship Id="rId557" Type="http://schemas.openxmlformats.org/officeDocument/2006/relationships/hyperlink" Target="https://cookiepdf-v2-assests.s3.ap-south-1.amazonaws.com/NCT+OF+Delhi/CENTRAL/2+-+BURARI_324/2025-EROLLGEN-U05-2-FinalRoll-Revision1-ENG-262-WI.pdf" TargetMode="External"/><Relationship Id="rId764" Type="http://schemas.openxmlformats.org/officeDocument/2006/relationships/hyperlink" Target="https://cookiepdf-v2-assests.s3.ap-south-1.amazonaws.com/NCT+OF+Delhi/CENTRAL/3+-+TIMARPUR_178/2025-EROLLGEN-U05-3-FinalRoll-Revision1-ENG-161-WI.pdf" TargetMode="External"/><Relationship Id="rId196" Type="http://schemas.openxmlformats.org/officeDocument/2006/relationships/hyperlink" Target="https://cookiepdf-v2-assests.s3.ap-south-1.amazonaws.com/NCT+OF+Delhi/NORTH/1+-+NERELA_295/2025-EROLLGEN-U05-1-FinalRoll-Revision1-ENG-196-WI.pdf" TargetMode="External"/><Relationship Id="rId417" Type="http://schemas.openxmlformats.org/officeDocument/2006/relationships/hyperlink" Target="https://cookiepdf-v2-assests.s3.ap-south-1.amazonaws.com/NCT+OF+Delhi/CENTRAL/2+-+BURARI_324/2025-EROLLGEN-U05-2-FinalRoll-Revision1-ENG-122-WI.pdf" TargetMode="External"/><Relationship Id="rId624" Type="http://schemas.openxmlformats.org/officeDocument/2006/relationships/hyperlink" Target="https://cookiepdf-v2-assests.s3.ap-south-1.amazonaws.com/NCT+OF+Delhi/CENTRAL/3+-+TIMARPUR_178/2025-EROLLGEN-U05-3-FinalRoll-Revision1-ENG-21-WI.pdf" TargetMode="External"/><Relationship Id="rId263" Type="http://schemas.openxmlformats.org/officeDocument/2006/relationships/hyperlink" Target="https://cookiepdf-v2-assests.s3.ap-south-1.amazonaws.com/NCT+OF+Delhi/NORTH/1+-+NERELA_295/2025-EROLLGEN-U05-1-FinalRoll-Revision1-ENG-263-WI.pdf" TargetMode="External"/><Relationship Id="rId470" Type="http://schemas.openxmlformats.org/officeDocument/2006/relationships/hyperlink" Target="https://cookiepdf-v2-assests.s3.ap-south-1.amazonaws.com/NCT+OF+Delhi/CENTRAL/2+-+BURARI_324/2025-EROLLGEN-U05-2-FinalRoll-Revision1-ENG-175-WI.pdf" TargetMode="External"/><Relationship Id="rId58" Type="http://schemas.openxmlformats.org/officeDocument/2006/relationships/hyperlink" Target="https://cookiepdf-v2-assests.s3.ap-south-1.amazonaws.com/NCT+OF+Delhi/NORTH/1+-+NERELA_295/2025-EROLLGEN-U05-1-FinalRoll-Revision1-ENG-58-WI.pdf" TargetMode="External"/><Relationship Id="rId123" Type="http://schemas.openxmlformats.org/officeDocument/2006/relationships/hyperlink" Target="https://cookiepdf-v2-assests.s3.ap-south-1.amazonaws.com/NCT+OF+Delhi/NORTH/1+-+NERELA_295/2025-EROLLGEN-U05-1-FinalRoll-Revision1-ENG-123-WI.pdf" TargetMode="External"/><Relationship Id="rId330" Type="http://schemas.openxmlformats.org/officeDocument/2006/relationships/hyperlink" Target="https://cookiepdf-v2-assests.s3.ap-south-1.amazonaws.com/NCT+OF+Delhi/CENTRAL/2+-+BURARI_324/2025-EROLLGEN-U05-2-FinalRoll-Revision1-ENG-35-WI.pdf" TargetMode="External"/><Relationship Id="rId568" Type="http://schemas.openxmlformats.org/officeDocument/2006/relationships/hyperlink" Target="https://cookiepdf-v2-assests.s3.ap-south-1.amazonaws.com/NCT+OF+Delhi/CENTRAL/2+-+BURARI_324/2025-EROLLGEN-U05-2-FinalRoll-Revision1-ENG-273-WI.pdf" TargetMode="External"/><Relationship Id="rId775" Type="http://schemas.openxmlformats.org/officeDocument/2006/relationships/hyperlink" Target="https://cookiepdf-v2-assests.s3.ap-south-1.amazonaws.com/NCT+OF+Delhi/CENTRAL/3+-+TIMARPUR_178/2025-EROLLGEN-U05-3-FinalRoll-Revision1-ENG-172-WI.pdf" TargetMode="External"/><Relationship Id="rId428" Type="http://schemas.openxmlformats.org/officeDocument/2006/relationships/hyperlink" Target="https://cookiepdf-v2-assests.s3.ap-south-1.amazonaws.com/NCT+OF+Delhi/CENTRAL/2+-+BURARI_324/2025-EROLLGEN-U05-2-FinalRoll-Revision1-ENG-133-WI.pdf" TargetMode="External"/><Relationship Id="rId635" Type="http://schemas.openxmlformats.org/officeDocument/2006/relationships/hyperlink" Target="https://cookiepdf-v2-assests.s3.ap-south-1.amazonaws.com/NCT+OF+Delhi/CENTRAL/3+-+TIMARPUR_178/2025-EROLLGEN-U05-3-FinalRoll-Revision1-ENG-32-WI.pdf" TargetMode="External"/><Relationship Id="rId274" Type="http://schemas.openxmlformats.org/officeDocument/2006/relationships/hyperlink" Target="https://cookiepdf-v2-assests.s3.ap-south-1.amazonaws.com/NCT+OF+Delhi/NORTH/1+-+NERELA_295/2025-EROLLGEN-U05-1-FinalRoll-Revision1-ENG-274-WI.pdf" TargetMode="External"/><Relationship Id="rId481" Type="http://schemas.openxmlformats.org/officeDocument/2006/relationships/hyperlink" Target="https://cookiepdf-v2-assests.s3.ap-south-1.amazonaws.com/NCT+OF+Delhi/CENTRAL/2+-+BURARI_324/2025-EROLLGEN-U05-2-FinalRoll-Revision1-ENG-186-WI.pdf" TargetMode="External"/><Relationship Id="rId702" Type="http://schemas.openxmlformats.org/officeDocument/2006/relationships/hyperlink" Target="https://cookiepdf-v2-assests.s3.ap-south-1.amazonaws.com/NCT+OF+Delhi/CENTRAL/3+-+TIMARPUR_178/2025-EROLLGEN-U05-3-FinalRoll-Revision1-ENG-99-WI.pdf" TargetMode="External"/><Relationship Id="rId69" Type="http://schemas.openxmlformats.org/officeDocument/2006/relationships/hyperlink" Target="https://cookiepdf-v2-assests.s3.ap-south-1.amazonaws.com/NCT+OF+Delhi/NORTH/1+-+NERELA_295/2025-EROLLGEN-U05-1-FinalRoll-Revision1-ENG-69-WI.pdf" TargetMode="External"/><Relationship Id="rId134" Type="http://schemas.openxmlformats.org/officeDocument/2006/relationships/hyperlink" Target="https://cookiepdf-v2-assests.s3.ap-south-1.amazonaws.com/NCT+OF+Delhi/NORTH/1+-+NERELA_295/2025-EROLLGEN-U05-1-FinalRoll-Revision1-ENG-134-WI.pdf" TargetMode="External"/><Relationship Id="rId579" Type="http://schemas.openxmlformats.org/officeDocument/2006/relationships/hyperlink" Target="https://cookiepdf-v2-assests.s3.ap-south-1.amazonaws.com/NCT+OF+Delhi/CENTRAL/2+-+BURARI_324/2025-EROLLGEN-U05-2-FinalRoll-Revision1-ENG-284-WI.pdf" TargetMode="External"/><Relationship Id="rId341" Type="http://schemas.openxmlformats.org/officeDocument/2006/relationships/hyperlink" Target="https://cookiepdf-v2-assests.s3.ap-south-1.amazonaws.com/NCT+OF+Delhi/CENTRAL/2+-+BURARI_324/2025-EROLLGEN-U05-2-FinalRoll-Revision1-ENG-46-WI.pdf" TargetMode="External"/><Relationship Id="rId439" Type="http://schemas.openxmlformats.org/officeDocument/2006/relationships/hyperlink" Target="https://cookiepdf-v2-assests.s3.ap-south-1.amazonaws.com/NCT+OF+Delhi/CENTRAL/2+-+BURARI_324/2025-EROLLGEN-U05-2-FinalRoll-Revision1-ENG-144-WI.pdf" TargetMode="External"/><Relationship Id="rId646" Type="http://schemas.openxmlformats.org/officeDocument/2006/relationships/hyperlink" Target="https://cookiepdf-v2-assests.s3.ap-south-1.amazonaws.com/NCT+OF+Delhi/CENTRAL/3+-+TIMARPUR_178/2025-EROLLGEN-U05-3-FinalRoll-Revision1-ENG-43-WI.pdf" TargetMode="External"/><Relationship Id="rId201" Type="http://schemas.openxmlformats.org/officeDocument/2006/relationships/hyperlink" Target="https://cookiepdf-v2-assests.s3.ap-south-1.amazonaws.com/NCT+OF+Delhi/NORTH/1+-+NERELA_295/2025-EROLLGEN-U05-1-FinalRoll-Revision1-ENG-201-WI.pdf" TargetMode="External"/><Relationship Id="rId285" Type="http://schemas.openxmlformats.org/officeDocument/2006/relationships/hyperlink" Target="https://cookiepdf-v2-assests.s3.ap-south-1.amazonaws.com/NCT+OF+Delhi/NORTH/1+-+NERELA_295/2025-EROLLGEN-U05-1-FinalRoll-Revision1-ENG-285-WI.pdf" TargetMode="External"/><Relationship Id="rId506" Type="http://schemas.openxmlformats.org/officeDocument/2006/relationships/hyperlink" Target="https://cookiepdf-v2-assests.s3.ap-south-1.amazonaws.com/NCT+OF+Delhi/CENTRAL/2+-+BURARI_324/2025-EROLLGEN-U05-2-FinalRoll-Revision1-ENG-211-WI.pdf" TargetMode="External"/><Relationship Id="rId492" Type="http://schemas.openxmlformats.org/officeDocument/2006/relationships/hyperlink" Target="https://cookiepdf-v2-assests.s3.ap-south-1.amazonaws.com/NCT+OF+Delhi/CENTRAL/2+-+BURARI_324/2025-EROLLGEN-U05-2-FinalRoll-Revision1-ENG-197-WI.pdf" TargetMode="External"/><Relationship Id="rId713" Type="http://schemas.openxmlformats.org/officeDocument/2006/relationships/hyperlink" Target="https://cookiepdf-v2-assests.s3.ap-south-1.amazonaws.com/NCT+OF+Delhi/CENTRAL/3+-+TIMARPUR_178/2025-EROLLGEN-U05-3-FinalRoll-Revision1-ENG-110-WI.pdf" TargetMode="External"/><Relationship Id="rId145" Type="http://schemas.openxmlformats.org/officeDocument/2006/relationships/hyperlink" Target="https://cookiepdf-v2-assests.s3.ap-south-1.amazonaws.com/NCT+OF+Delhi/NORTH/1+-+NERELA_295/2025-EROLLGEN-U05-1-FinalRoll-Revision1-ENG-145-WI.pdf" TargetMode="External"/><Relationship Id="rId352" Type="http://schemas.openxmlformats.org/officeDocument/2006/relationships/hyperlink" Target="https://cookiepdf-v2-assests.s3.ap-south-1.amazonaws.com/NCT+OF+Delhi/CENTRAL/2+-+BURARI_324/2025-EROLLGEN-U05-2-FinalRoll-Revision1-ENG-57-WI.pdf" TargetMode="External"/><Relationship Id="rId212" Type="http://schemas.openxmlformats.org/officeDocument/2006/relationships/hyperlink" Target="https://cookiepdf-v2-assests.s3.ap-south-1.amazonaws.com/NCT+OF+Delhi/NORTH/1+-+NERELA_295/2025-EROLLGEN-U05-1-FinalRoll-Revision1-ENG-212-WI.pdf" TargetMode="External"/><Relationship Id="rId657" Type="http://schemas.openxmlformats.org/officeDocument/2006/relationships/hyperlink" Target="https://cookiepdf-v2-assests.s3.ap-south-1.amazonaws.com/NCT+OF+Delhi/CENTRAL/3+-+TIMARPUR_178/2025-EROLLGEN-U05-3-FinalRoll-Revision1-ENG-54-WI.pdf" TargetMode="External"/><Relationship Id="rId296" Type="http://schemas.openxmlformats.org/officeDocument/2006/relationships/hyperlink" Target="https://cookiepdf-v2-assests.s3.ap-south-1.amazonaws.com/NCT+OF+Delhi/CENTRAL/2+-+BURARI_324/2025-EROLLGEN-U05-2-FinalRoll-Revision1-ENG-1-WI.pdf" TargetMode="External"/><Relationship Id="rId517" Type="http://schemas.openxmlformats.org/officeDocument/2006/relationships/hyperlink" Target="https://cookiepdf-v2-assests.s3.ap-south-1.amazonaws.com/NCT+OF+Delhi/CENTRAL/2+-+BURARI_324/2025-EROLLGEN-U05-2-FinalRoll-Revision1-ENG-222-WI.pdf" TargetMode="External"/><Relationship Id="rId724" Type="http://schemas.openxmlformats.org/officeDocument/2006/relationships/hyperlink" Target="https://cookiepdf-v2-assests.s3.ap-south-1.amazonaws.com/NCT+OF+Delhi/CENTRAL/3+-+TIMARPUR_178/2025-EROLLGEN-U05-3-FinalRoll-Revision1-ENG-121-WI.pdf" TargetMode="External"/><Relationship Id="rId60" Type="http://schemas.openxmlformats.org/officeDocument/2006/relationships/hyperlink" Target="https://cookiepdf-v2-assests.s3.ap-south-1.amazonaws.com/NCT+OF+Delhi/NORTH/1+-+NERELA_295/2025-EROLLGEN-U05-1-FinalRoll-Revision1-ENG-60-WI.pdf" TargetMode="External"/><Relationship Id="rId156" Type="http://schemas.openxmlformats.org/officeDocument/2006/relationships/hyperlink" Target="https://cookiepdf-v2-assests.s3.ap-south-1.amazonaws.com/NCT+OF+Delhi/NORTH/1+-+NERELA_295/2025-EROLLGEN-U05-1-FinalRoll-Revision1-ENG-156-WI.pdf" TargetMode="External"/><Relationship Id="rId363" Type="http://schemas.openxmlformats.org/officeDocument/2006/relationships/hyperlink" Target="https://cookiepdf-v2-assests.s3.ap-south-1.amazonaws.com/NCT+OF+Delhi/CENTRAL/2+-+BURARI_324/2025-EROLLGEN-U05-2-FinalRoll-Revision1-ENG-68-WI.pdf" TargetMode="External"/><Relationship Id="rId570" Type="http://schemas.openxmlformats.org/officeDocument/2006/relationships/hyperlink" Target="https://cookiepdf-v2-assests.s3.ap-south-1.amazonaws.com/NCT+OF+Delhi/CENTRAL/2+-+BURARI_324/2025-EROLLGEN-U05-2-FinalRoll-Revision1-ENG-275-WI.pdf" TargetMode="External"/><Relationship Id="rId223" Type="http://schemas.openxmlformats.org/officeDocument/2006/relationships/hyperlink" Target="https://cookiepdf-v2-assests.s3.ap-south-1.amazonaws.com/NCT+OF+Delhi/NORTH/1+-+NERELA_295/2025-EROLLGEN-U05-1-FinalRoll-Revision1-ENG-223-WI.pdf" TargetMode="External"/><Relationship Id="rId430" Type="http://schemas.openxmlformats.org/officeDocument/2006/relationships/hyperlink" Target="https://cookiepdf-v2-assests.s3.ap-south-1.amazonaws.com/NCT+OF+Delhi/CENTRAL/2+-+BURARI_324/2025-EROLLGEN-U05-2-FinalRoll-Revision1-ENG-135-WI.pdf" TargetMode="External"/><Relationship Id="rId668" Type="http://schemas.openxmlformats.org/officeDocument/2006/relationships/hyperlink" Target="https://cookiepdf-v2-assests.s3.ap-south-1.amazonaws.com/NCT+OF+Delhi/CENTRAL/3+-+TIMARPUR_178/2025-EROLLGEN-U05-3-FinalRoll-Revision1-ENG-65-WI.pdf" TargetMode="External"/><Relationship Id="rId18" Type="http://schemas.openxmlformats.org/officeDocument/2006/relationships/hyperlink" Target="https://cookiepdf-v2-assests.s3.ap-south-1.amazonaws.com/NCT+OF+Delhi/NORTH/1+-+NERELA_295/2025-EROLLGEN-U05-1-FinalRoll-Revision1-ENG-18-WI.pdf" TargetMode="External"/><Relationship Id="rId528" Type="http://schemas.openxmlformats.org/officeDocument/2006/relationships/hyperlink" Target="https://cookiepdf-v2-assests.s3.ap-south-1.amazonaws.com/NCT+OF+Delhi/CENTRAL/2+-+BURARI_324/2025-EROLLGEN-U05-2-FinalRoll-Revision1-ENG-233-WI.pdf" TargetMode="External"/><Relationship Id="rId735" Type="http://schemas.openxmlformats.org/officeDocument/2006/relationships/hyperlink" Target="https://cookiepdf-v2-assests.s3.ap-south-1.amazonaws.com/NCT+OF+Delhi/CENTRAL/3+-+TIMARPUR_178/2025-EROLLGEN-U05-3-FinalRoll-Revision1-ENG-132-WI.pdf" TargetMode="External"/><Relationship Id="rId167" Type="http://schemas.openxmlformats.org/officeDocument/2006/relationships/hyperlink" Target="https://cookiepdf-v2-assests.s3.ap-south-1.amazonaws.com/NCT+OF+Delhi/NORTH/1+-+NERELA_295/2025-EROLLGEN-U05-1-FinalRoll-Revision1-ENG-167-WI.pdf" TargetMode="External"/><Relationship Id="rId374" Type="http://schemas.openxmlformats.org/officeDocument/2006/relationships/hyperlink" Target="https://cookiepdf-v2-assests.s3.ap-south-1.amazonaws.com/NCT+OF+Delhi/CENTRAL/2+-+BURARI_324/2025-EROLLGEN-U05-2-FinalRoll-Revision1-ENG-79-WI.pdf" TargetMode="External"/><Relationship Id="rId581" Type="http://schemas.openxmlformats.org/officeDocument/2006/relationships/hyperlink" Target="https://cookiepdf-v2-assests.s3.ap-south-1.amazonaws.com/NCT+OF+Delhi/CENTRAL/2+-+BURARI_324/2025-EROLLGEN-U05-2-FinalRoll-Revision1-ENG-286-WI.pdf" TargetMode="External"/><Relationship Id="rId71" Type="http://schemas.openxmlformats.org/officeDocument/2006/relationships/hyperlink" Target="https://cookiepdf-v2-assests.s3.ap-south-1.amazonaws.com/NCT+OF+Delhi/NORTH/1+-+NERELA_295/2025-EROLLGEN-U05-1-FinalRoll-Revision1-ENG-71-WI.pdf" TargetMode="External"/><Relationship Id="rId234" Type="http://schemas.openxmlformats.org/officeDocument/2006/relationships/hyperlink" Target="https://cookiepdf-v2-assests.s3.ap-south-1.amazonaws.com/NCT+OF+Delhi/NORTH/1+-+NERELA_295/2025-EROLLGEN-U05-1-FinalRoll-Revision1-ENG-234-WI.pdf" TargetMode="External"/><Relationship Id="rId679" Type="http://schemas.openxmlformats.org/officeDocument/2006/relationships/hyperlink" Target="https://cookiepdf-v2-assests.s3.ap-south-1.amazonaws.com/NCT+OF+Delhi/CENTRAL/3+-+TIMARPUR_178/2025-EROLLGEN-U05-3-FinalRoll-Revision1-ENG-76-WI.pdf" TargetMode="External"/><Relationship Id="rId2" Type="http://schemas.openxmlformats.org/officeDocument/2006/relationships/hyperlink" Target="https://cookiepdf-v2-assests.s3.ap-south-1.amazonaws.com/NCT+OF+Delhi/NORTH/1+-+NERELA_295/2025-EROLLGEN-U05-1-FinalRoll-Revision1-ENG-2-WI.pdf" TargetMode="External"/><Relationship Id="rId29" Type="http://schemas.openxmlformats.org/officeDocument/2006/relationships/hyperlink" Target="https://cookiepdf-v2-assests.s3.ap-south-1.amazonaws.com/NCT+OF+Delhi/NORTH/1+-+NERELA_295/2025-EROLLGEN-U05-1-FinalRoll-Revision1-ENG-29-WI.pdf" TargetMode="External"/><Relationship Id="rId441" Type="http://schemas.openxmlformats.org/officeDocument/2006/relationships/hyperlink" Target="https://cookiepdf-v2-assests.s3.ap-south-1.amazonaws.com/NCT+OF+Delhi/CENTRAL/2+-+BURARI_324/2025-EROLLGEN-U05-2-FinalRoll-Revision1-ENG-146-WI.pdf" TargetMode="External"/><Relationship Id="rId539" Type="http://schemas.openxmlformats.org/officeDocument/2006/relationships/hyperlink" Target="https://cookiepdf-v2-assests.s3.ap-south-1.amazonaws.com/NCT+OF+Delhi/CENTRAL/2+-+BURARI_324/2025-EROLLGEN-U05-2-FinalRoll-Revision1-ENG-244-WI.pdf" TargetMode="External"/><Relationship Id="rId746" Type="http://schemas.openxmlformats.org/officeDocument/2006/relationships/hyperlink" Target="https://cookiepdf-v2-assests.s3.ap-south-1.amazonaws.com/NCT+OF+Delhi/CENTRAL/3+-+TIMARPUR_178/2025-EROLLGEN-U05-3-FinalRoll-Revision1-ENG-143-WI.pdf" TargetMode="External"/><Relationship Id="rId178" Type="http://schemas.openxmlformats.org/officeDocument/2006/relationships/hyperlink" Target="https://cookiepdf-v2-assests.s3.ap-south-1.amazonaws.com/NCT+OF+Delhi/NORTH/1+-+NERELA_295/2025-EROLLGEN-U05-1-FinalRoll-Revision1-ENG-178-WI.pdf" TargetMode="External"/><Relationship Id="rId301" Type="http://schemas.openxmlformats.org/officeDocument/2006/relationships/hyperlink" Target="https://cookiepdf-v2-assests.s3.ap-south-1.amazonaws.com/NCT+OF+Delhi/CENTRAL/2+-+BURARI_324/2025-EROLLGEN-U05-2-FinalRoll-Revision1-ENG-6-WI.pdf" TargetMode="External"/><Relationship Id="rId82" Type="http://schemas.openxmlformats.org/officeDocument/2006/relationships/hyperlink" Target="https://cookiepdf-v2-assests.s3.ap-south-1.amazonaws.com/NCT+OF+Delhi/NORTH/1+-+NERELA_295/2025-EROLLGEN-U05-1-FinalRoll-Revision1-ENG-82-WI.pdf" TargetMode="External"/><Relationship Id="rId385" Type="http://schemas.openxmlformats.org/officeDocument/2006/relationships/hyperlink" Target="https://cookiepdf-v2-assests.s3.ap-south-1.amazonaws.com/NCT+OF+Delhi/CENTRAL/2+-+BURARI_324/2025-EROLLGEN-U05-2-FinalRoll-Revision1-ENG-90-WI.pdf" TargetMode="External"/><Relationship Id="rId592" Type="http://schemas.openxmlformats.org/officeDocument/2006/relationships/hyperlink" Target="https://cookiepdf-v2-assests.s3.ap-south-1.amazonaws.com/NCT+OF+Delhi/CENTRAL/2+-+BURARI_324/2025-EROLLGEN-U05-2-FinalRoll-Revision1-ENG-297-WI.pdf" TargetMode="External"/><Relationship Id="rId606" Type="http://schemas.openxmlformats.org/officeDocument/2006/relationships/hyperlink" Target="https://cookiepdf-v2-assests.s3.ap-south-1.amazonaws.com/NCT+OF+Delhi/CENTRAL/3+-+TIMARPUR_178/2025-EROLLGEN-U05-3-FinalRoll-Revision1-ENG-3-WI.pdf" TargetMode="External"/><Relationship Id="rId245" Type="http://schemas.openxmlformats.org/officeDocument/2006/relationships/hyperlink" Target="https://cookiepdf-v2-assests.s3.ap-south-1.amazonaws.com/NCT+OF+Delhi/NORTH/1+-+NERELA_295/2025-EROLLGEN-U05-1-FinalRoll-Revision1-ENG-245-WI.pdf" TargetMode="External"/><Relationship Id="rId452" Type="http://schemas.openxmlformats.org/officeDocument/2006/relationships/hyperlink" Target="https://cookiepdf-v2-assests.s3.ap-south-1.amazonaws.com/NCT+OF+Delhi/CENTRAL/2+-+BURARI_324/2025-EROLLGEN-U05-2-FinalRoll-Revision1-ENG-157-WI.pdf" TargetMode="External"/><Relationship Id="rId105" Type="http://schemas.openxmlformats.org/officeDocument/2006/relationships/hyperlink" Target="https://cookiepdf-v2-assests.s3.ap-south-1.amazonaws.com/NCT+OF+Delhi/NORTH/1+-+NERELA_295/2025-EROLLGEN-U05-1-FinalRoll-Revision1-ENG-105-WI.pdf" TargetMode="External"/><Relationship Id="rId312" Type="http://schemas.openxmlformats.org/officeDocument/2006/relationships/hyperlink" Target="https://cookiepdf-v2-assests.s3.ap-south-1.amazonaws.com/NCT+OF+Delhi/CENTRAL/2+-+BURARI_324/2025-EROLLGEN-U05-2-FinalRoll-Revision1-ENG-17-WI.pdf" TargetMode="External"/><Relationship Id="rId757" Type="http://schemas.openxmlformats.org/officeDocument/2006/relationships/hyperlink" Target="https://cookiepdf-v2-assests.s3.ap-south-1.amazonaws.com/NCT+OF+Delhi/CENTRAL/3+-+TIMARPUR_178/2025-EROLLGEN-U05-3-FinalRoll-Revision1-ENG-154-WI.pdf" TargetMode="External"/><Relationship Id="rId93" Type="http://schemas.openxmlformats.org/officeDocument/2006/relationships/hyperlink" Target="https://cookiepdf-v2-assests.s3.ap-south-1.amazonaws.com/NCT+OF+Delhi/NORTH/1+-+NERELA_295/2025-EROLLGEN-U05-1-FinalRoll-Revision1-ENG-93-WI.pdf" TargetMode="External"/><Relationship Id="rId189" Type="http://schemas.openxmlformats.org/officeDocument/2006/relationships/hyperlink" Target="https://cookiepdf-v2-assests.s3.ap-south-1.amazonaws.com/NCT+OF+Delhi/NORTH/1+-+NERELA_295/2025-EROLLGEN-U05-1-FinalRoll-Revision1-ENG-189-WI.pdf" TargetMode="External"/><Relationship Id="rId396" Type="http://schemas.openxmlformats.org/officeDocument/2006/relationships/hyperlink" Target="https://cookiepdf-v2-assests.s3.ap-south-1.amazonaws.com/NCT+OF+Delhi/CENTRAL/2+-+BURARI_324/2025-EROLLGEN-U05-2-FinalRoll-Revision1-ENG-101-WI.pdf" TargetMode="External"/><Relationship Id="rId617" Type="http://schemas.openxmlformats.org/officeDocument/2006/relationships/hyperlink" Target="https://cookiepdf-v2-assests.s3.ap-south-1.amazonaws.com/NCT+OF+Delhi/CENTRAL/3+-+TIMARPUR_178/2025-EROLLGEN-U05-3-FinalRoll-Revision1-ENG-14-WI.pdf" TargetMode="External"/><Relationship Id="rId256" Type="http://schemas.openxmlformats.org/officeDocument/2006/relationships/hyperlink" Target="https://cookiepdf-v2-assests.s3.ap-south-1.amazonaws.com/NCT+OF+Delhi/NORTH/1+-+NERELA_295/2025-EROLLGEN-U05-1-FinalRoll-Revision1-ENG-256-WI.pdf" TargetMode="External"/><Relationship Id="rId463" Type="http://schemas.openxmlformats.org/officeDocument/2006/relationships/hyperlink" Target="https://cookiepdf-v2-assests.s3.ap-south-1.amazonaws.com/NCT+OF+Delhi/CENTRAL/2+-+BURARI_324/2025-EROLLGEN-U05-2-FinalRoll-Revision1-ENG-168-WI.pdf" TargetMode="External"/><Relationship Id="rId670" Type="http://schemas.openxmlformats.org/officeDocument/2006/relationships/hyperlink" Target="https://cookiepdf-v2-assests.s3.ap-south-1.amazonaws.com/NCT+OF+Delhi/CENTRAL/3+-+TIMARPUR_178/2025-EROLLGEN-U05-3-FinalRoll-Revision1-ENG-67-WI.pdf" TargetMode="External"/><Relationship Id="rId116" Type="http://schemas.openxmlformats.org/officeDocument/2006/relationships/hyperlink" Target="https://cookiepdf-v2-assests.s3.ap-south-1.amazonaws.com/NCT+OF+Delhi/NORTH/1+-+NERELA_295/2025-EROLLGEN-U05-1-FinalRoll-Revision1-ENG-116-WI.pdf" TargetMode="External"/><Relationship Id="rId323" Type="http://schemas.openxmlformats.org/officeDocument/2006/relationships/hyperlink" Target="https://cookiepdf-v2-assests.s3.ap-south-1.amazonaws.com/NCT+OF+Delhi/CENTRAL/2+-+BURARI_324/2025-EROLLGEN-U05-2-FinalRoll-Revision1-ENG-28-WI.pdf" TargetMode="External"/><Relationship Id="rId530" Type="http://schemas.openxmlformats.org/officeDocument/2006/relationships/hyperlink" Target="https://cookiepdf-v2-assests.s3.ap-south-1.amazonaws.com/NCT+OF+Delhi/CENTRAL/2+-+BURARI_324/2025-EROLLGEN-U05-2-FinalRoll-Revision1-ENG-235-WI.pdf" TargetMode="External"/><Relationship Id="rId768" Type="http://schemas.openxmlformats.org/officeDocument/2006/relationships/hyperlink" Target="https://cookiepdf-v2-assests.s3.ap-south-1.amazonaws.com/NCT+OF+Delhi/CENTRAL/3+-+TIMARPUR_178/2025-EROLLGEN-U05-3-FinalRoll-Revision1-ENG-165-WI.pdf" TargetMode="External"/><Relationship Id="rId20" Type="http://schemas.openxmlformats.org/officeDocument/2006/relationships/hyperlink" Target="https://cookiepdf-v2-assests.s3.ap-south-1.amazonaws.com/NCT+OF+Delhi/NORTH/1+-+NERELA_295/2025-EROLLGEN-U05-1-FinalRoll-Revision1-ENG-20-WI.pdf" TargetMode="External"/><Relationship Id="rId628" Type="http://schemas.openxmlformats.org/officeDocument/2006/relationships/hyperlink" Target="https://cookiepdf-v2-assests.s3.ap-south-1.amazonaws.com/NCT+OF+Delhi/CENTRAL/3+-+TIMARPUR_178/2025-EROLLGEN-U05-3-FinalRoll-Revision1-ENG-25-WI.pdf" TargetMode="External"/><Relationship Id="rId267" Type="http://schemas.openxmlformats.org/officeDocument/2006/relationships/hyperlink" Target="https://cookiepdf-v2-assests.s3.ap-south-1.amazonaws.com/NCT+OF+Delhi/NORTH/1+-+NERELA_295/2025-EROLLGEN-U05-1-FinalRoll-Revision1-ENG-267-WI.pdf" TargetMode="External"/><Relationship Id="rId474" Type="http://schemas.openxmlformats.org/officeDocument/2006/relationships/hyperlink" Target="https://cookiepdf-v2-assests.s3.ap-south-1.amazonaws.com/NCT+OF+Delhi/CENTRAL/2+-+BURARI_324/2025-EROLLGEN-U05-2-FinalRoll-Revision1-ENG-179-WI.pdf" TargetMode="External"/><Relationship Id="rId127" Type="http://schemas.openxmlformats.org/officeDocument/2006/relationships/hyperlink" Target="https://cookiepdf-v2-assests.s3.ap-south-1.amazonaws.com/NCT+OF+Delhi/NORTH/1+-+NERELA_295/2025-EROLLGEN-U05-1-FinalRoll-Revision1-ENG-127-WI.pdf" TargetMode="External"/><Relationship Id="rId681" Type="http://schemas.openxmlformats.org/officeDocument/2006/relationships/hyperlink" Target="https://cookiepdf-v2-assests.s3.ap-south-1.amazonaws.com/NCT+OF+Delhi/CENTRAL/3+-+TIMARPUR_178/2025-EROLLGEN-U05-3-FinalRoll-Revision1-ENG-78-WI.pdf" TargetMode="External"/><Relationship Id="rId779" Type="http://schemas.openxmlformats.org/officeDocument/2006/relationships/hyperlink" Target="https://cookiepdf-v2-assests.s3.ap-south-1.amazonaws.com/NCT+OF+Delhi/CENTRAL/3+-+TIMARPUR_178/2025-EROLLGEN-U05-3-FinalRoll-Revision1-ENG-176-WI.pdf" TargetMode="External"/><Relationship Id="rId31" Type="http://schemas.openxmlformats.org/officeDocument/2006/relationships/hyperlink" Target="https://cookiepdf-v2-assests.s3.ap-south-1.amazonaws.com/NCT+OF+Delhi/NORTH/1+-+NERELA_295/2025-EROLLGEN-U05-1-FinalRoll-Revision1-ENG-31-WI.pdf" TargetMode="External"/><Relationship Id="rId334" Type="http://schemas.openxmlformats.org/officeDocument/2006/relationships/hyperlink" Target="https://cookiepdf-v2-assests.s3.ap-south-1.amazonaws.com/NCT+OF+Delhi/CENTRAL/2+-+BURARI_324/2025-EROLLGEN-U05-2-FinalRoll-Revision1-ENG-39-WI.pdf" TargetMode="External"/><Relationship Id="rId541" Type="http://schemas.openxmlformats.org/officeDocument/2006/relationships/hyperlink" Target="https://cookiepdf-v2-assests.s3.ap-south-1.amazonaws.com/NCT+OF+Delhi/CENTRAL/2+-+BURARI_324/2025-EROLLGEN-U05-2-FinalRoll-Revision1-ENG-246-WI.pdf" TargetMode="External"/><Relationship Id="rId639" Type="http://schemas.openxmlformats.org/officeDocument/2006/relationships/hyperlink" Target="https://cookiepdf-v2-assests.s3.ap-south-1.amazonaws.com/NCT+OF+Delhi/CENTRAL/3+-+TIMARPUR_178/2025-EROLLGEN-U05-3-FinalRoll-Revision1-ENG-36-WI.pdf" TargetMode="External"/><Relationship Id="rId180" Type="http://schemas.openxmlformats.org/officeDocument/2006/relationships/hyperlink" Target="https://cookiepdf-v2-assests.s3.ap-south-1.amazonaws.com/NCT+OF+Delhi/NORTH/1+-+NERELA_295/2025-EROLLGEN-U05-1-FinalRoll-Revision1-ENG-180-WI.pdf" TargetMode="External"/><Relationship Id="rId278" Type="http://schemas.openxmlformats.org/officeDocument/2006/relationships/hyperlink" Target="https://cookiepdf-v2-assests.s3.ap-south-1.amazonaws.com/NCT+OF+Delhi/NORTH/1+-+NERELA_295/2025-EROLLGEN-U05-1-FinalRoll-Revision1-ENG-278-WI.pdf" TargetMode="External"/><Relationship Id="rId401" Type="http://schemas.openxmlformats.org/officeDocument/2006/relationships/hyperlink" Target="https://cookiepdf-v2-assests.s3.ap-south-1.amazonaws.com/NCT+OF+Delhi/CENTRAL/2+-+BURARI_324/2025-EROLLGEN-U05-2-FinalRoll-Revision1-ENG-106-WI.pdf" TargetMode="External"/><Relationship Id="rId485" Type="http://schemas.openxmlformats.org/officeDocument/2006/relationships/hyperlink" Target="https://cookiepdf-v2-assests.s3.ap-south-1.amazonaws.com/NCT+OF+Delhi/CENTRAL/2+-+BURARI_324/2025-EROLLGEN-U05-2-FinalRoll-Revision1-ENG-190-WI.pdf" TargetMode="External"/><Relationship Id="rId692" Type="http://schemas.openxmlformats.org/officeDocument/2006/relationships/hyperlink" Target="https://cookiepdf-v2-assests.s3.ap-south-1.amazonaws.com/NCT+OF+Delhi/CENTRAL/3+-+TIMARPUR_178/2025-EROLLGEN-U05-3-FinalRoll-Revision1-ENG-89-WI.pdf" TargetMode="External"/><Relationship Id="rId706" Type="http://schemas.openxmlformats.org/officeDocument/2006/relationships/hyperlink" Target="https://cookiepdf-v2-assests.s3.ap-south-1.amazonaws.com/NCT+OF+Delhi/CENTRAL/3+-+TIMARPUR_178/2025-EROLLGEN-U05-3-FinalRoll-Revision1-ENG-103-WI.pdf" TargetMode="External"/><Relationship Id="rId42" Type="http://schemas.openxmlformats.org/officeDocument/2006/relationships/hyperlink" Target="https://cookiepdf-v2-assests.s3.ap-south-1.amazonaws.com/NCT+OF+Delhi/NORTH/1+-+NERELA_295/2025-EROLLGEN-U05-1-FinalRoll-Revision1-ENG-42-WI.pdf" TargetMode="External"/><Relationship Id="rId138" Type="http://schemas.openxmlformats.org/officeDocument/2006/relationships/hyperlink" Target="https://cookiepdf-v2-assests.s3.ap-south-1.amazonaws.com/NCT+OF+Delhi/NORTH/1+-+NERELA_295/2025-EROLLGEN-U05-1-FinalRoll-Revision1-ENG-138-WI.pdf" TargetMode="External"/><Relationship Id="rId345" Type="http://schemas.openxmlformats.org/officeDocument/2006/relationships/hyperlink" Target="https://cookiepdf-v2-assests.s3.ap-south-1.amazonaws.com/NCT+OF+Delhi/CENTRAL/2+-+BURARI_324/2025-EROLLGEN-U05-2-FinalRoll-Revision1-ENG-50-WI.pdf" TargetMode="External"/><Relationship Id="rId552" Type="http://schemas.openxmlformats.org/officeDocument/2006/relationships/hyperlink" Target="https://cookiepdf-v2-assests.s3.ap-south-1.amazonaws.com/NCT+OF+Delhi/CENTRAL/2+-+BURARI_324/2025-EROLLGEN-U05-2-FinalRoll-Revision1-ENG-257-WI.pdf" TargetMode="External"/><Relationship Id="rId191" Type="http://schemas.openxmlformats.org/officeDocument/2006/relationships/hyperlink" Target="https://cookiepdf-v2-assests.s3.ap-south-1.amazonaws.com/NCT+OF+Delhi/NORTH/1+-+NERELA_295/2025-EROLLGEN-U05-1-FinalRoll-Revision1-ENG-191-WI.pdf" TargetMode="External"/><Relationship Id="rId205" Type="http://schemas.openxmlformats.org/officeDocument/2006/relationships/hyperlink" Target="https://cookiepdf-v2-assests.s3.ap-south-1.amazonaws.com/NCT+OF+Delhi/NORTH/1+-+NERELA_295/2025-EROLLGEN-U05-1-FinalRoll-Revision1-ENG-205-WI.pdf" TargetMode="External"/><Relationship Id="rId412" Type="http://schemas.openxmlformats.org/officeDocument/2006/relationships/hyperlink" Target="https://cookiepdf-v2-assests.s3.ap-south-1.amazonaws.com/NCT+OF+Delhi/CENTRAL/2+-+BURARI_324/2025-EROLLGEN-U05-2-FinalRoll-Revision1-ENG-117-WI.pdf" TargetMode="External"/><Relationship Id="rId289" Type="http://schemas.openxmlformats.org/officeDocument/2006/relationships/hyperlink" Target="https://cookiepdf-v2-assests.s3.ap-south-1.amazonaws.com/NCT+OF+Delhi/NORTH/1+-+NERELA_295/2025-EROLLGEN-U05-1-FinalRoll-Revision1-ENG-289-WI.pdf" TargetMode="External"/><Relationship Id="rId496" Type="http://schemas.openxmlformats.org/officeDocument/2006/relationships/hyperlink" Target="https://cookiepdf-v2-assests.s3.ap-south-1.amazonaws.com/NCT+OF+Delhi/CENTRAL/2+-+BURARI_324/2025-EROLLGEN-U05-2-FinalRoll-Revision1-ENG-201-WI.pdf" TargetMode="External"/><Relationship Id="rId717" Type="http://schemas.openxmlformats.org/officeDocument/2006/relationships/hyperlink" Target="https://cookiepdf-v2-assests.s3.ap-south-1.amazonaws.com/NCT+OF+Delhi/CENTRAL/3+-+TIMARPUR_178/2025-EROLLGEN-U05-3-FinalRoll-Revision1-ENG-114-WI.pdf" TargetMode="External"/><Relationship Id="rId11" Type="http://schemas.openxmlformats.org/officeDocument/2006/relationships/hyperlink" Target="https://cookiepdf-v2-assests.s3.ap-south-1.amazonaws.com/NCT+OF+Delhi/NORTH/1+-+NERELA_295/2025-EROLLGEN-U05-1-FinalRoll-Revision1-ENG-11-WI.pdf" TargetMode="External"/><Relationship Id="rId53" Type="http://schemas.openxmlformats.org/officeDocument/2006/relationships/hyperlink" Target="https://cookiepdf-v2-assests.s3.ap-south-1.amazonaws.com/NCT+OF+Delhi/NORTH/1+-+NERELA_295/2025-EROLLGEN-U05-1-FinalRoll-Revision1-ENG-53-WI.pdf" TargetMode="External"/><Relationship Id="rId149" Type="http://schemas.openxmlformats.org/officeDocument/2006/relationships/hyperlink" Target="https://cookiepdf-v2-assests.s3.ap-south-1.amazonaws.com/NCT+OF+Delhi/NORTH/1+-+NERELA_295/2025-EROLLGEN-U05-1-FinalRoll-Revision1-ENG-149-WI.pdf" TargetMode="External"/><Relationship Id="rId314" Type="http://schemas.openxmlformats.org/officeDocument/2006/relationships/hyperlink" Target="https://cookiepdf-v2-assests.s3.ap-south-1.amazonaws.com/NCT+OF+Delhi/CENTRAL/2+-+BURARI_324/2025-EROLLGEN-U05-2-FinalRoll-Revision1-ENG-19-WI.pdf" TargetMode="External"/><Relationship Id="rId356" Type="http://schemas.openxmlformats.org/officeDocument/2006/relationships/hyperlink" Target="https://cookiepdf-v2-assests.s3.ap-south-1.amazonaws.com/NCT+OF+Delhi/CENTRAL/2+-+BURARI_324/2025-EROLLGEN-U05-2-FinalRoll-Revision1-ENG-61-WI.pdf" TargetMode="External"/><Relationship Id="rId398" Type="http://schemas.openxmlformats.org/officeDocument/2006/relationships/hyperlink" Target="https://cookiepdf-v2-assests.s3.ap-south-1.amazonaws.com/NCT+OF+Delhi/CENTRAL/2+-+BURARI_324/2025-EROLLGEN-U05-2-FinalRoll-Revision1-ENG-103-WI.pdf" TargetMode="External"/><Relationship Id="rId521" Type="http://schemas.openxmlformats.org/officeDocument/2006/relationships/hyperlink" Target="https://cookiepdf-v2-assests.s3.ap-south-1.amazonaws.com/NCT+OF+Delhi/CENTRAL/2+-+BURARI_324/2025-EROLLGEN-U05-2-FinalRoll-Revision1-ENG-226-WI.pdf" TargetMode="External"/><Relationship Id="rId563" Type="http://schemas.openxmlformats.org/officeDocument/2006/relationships/hyperlink" Target="https://cookiepdf-v2-assests.s3.ap-south-1.amazonaws.com/NCT+OF+Delhi/CENTRAL/2+-+BURARI_324/2025-EROLLGEN-U05-2-FinalRoll-Revision1-ENG-268-WI.pdf" TargetMode="External"/><Relationship Id="rId619" Type="http://schemas.openxmlformats.org/officeDocument/2006/relationships/hyperlink" Target="https://cookiepdf-v2-assests.s3.ap-south-1.amazonaws.com/NCT+OF+Delhi/CENTRAL/3+-+TIMARPUR_178/2025-EROLLGEN-U05-3-FinalRoll-Revision1-ENG-16-WI.pdf" TargetMode="External"/><Relationship Id="rId770" Type="http://schemas.openxmlformats.org/officeDocument/2006/relationships/hyperlink" Target="https://cookiepdf-v2-assests.s3.ap-south-1.amazonaws.com/NCT+OF+Delhi/CENTRAL/3+-+TIMARPUR_178/2025-EROLLGEN-U05-3-FinalRoll-Revision1-ENG-167-WI.pdf" TargetMode="External"/><Relationship Id="rId95" Type="http://schemas.openxmlformats.org/officeDocument/2006/relationships/hyperlink" Target="https://cookiepdf-v2-assests.s3.ap-south-1.amazonaws.com/NCT+OF+Delhi/NORTH/1+-+NERELA_295/2025-EROLLGEN-U05-1-FinalRoll-Revision1-ENG-95-WI.pdf" TargetMode="External"/><Relationship Id="rId160" Type="http://schemas.openxmlformats.org/officeDocument/2006/relationships/hyperlink" Target="https://cookiepdf-v2-assests.s3.ap-south-1.amazonaws.com/NCT+OF+Delhi/NORTH/1+-+NERELA_295/2025-EROLLGEN-U05-1-FinalRoll-Revision1-ENG-160-WI.pdf" TargetMode="External"/><Relationship Id="rId216" Type="http://schemas.openxmlformats.org/officeDocument/2006/relationships/hyperlink" Target="https://cookiepdf-v2-assests.s3.ap-south-1.amazonaws.com/NCT+OF+Delhi/NORTH/1+-+NERELA_295/2025-EROLLGEN-U05-1-FinalRoll-Revision1-ENG-216-WI.pdf" TargetMode="External"/><Relationship Id="rId423" Type="http://schemas.openxmlformats.org/officeDocument/2006/relationships/hyperlink" Target="https://cookiepdf-v2-assests.s3.ap-south-1.amazonaws.com/NCT+OF+Delhi/CENTRAL/2+-+BURARI_324/2025-EROLLGEN-U05-2-FinalRoll-Revision1-ENG-128-WI.pdf" TargetMode="External"/><Relationship Id="rId258" Type="http://schemas.openxmlformats.org/officeDocument/2006/relationships/hyperlink" Target="https://cookiepdf-v2-assests.s3.ap-south-1.amazonaws.com/NCT+OF+Delhi/NORTH/1+-+NERELA_295/2025-EROLLGEN-U05-1-FinalRoll-Revision1-ENG-258-WI.pdf" TargetMode="External"/><Relationship Id="rId465" Type="http://schemas.openxmlformats.org/officeDocument/2006/relationships/hyperlink" Target="https://cookiepdf-v2-assests.s3.ap-south-1.amazonaws.com/NCT+OF+Delhi/CENTRAL/2+-+BURARI_324/2025-EROLLGEN-U05-2-FinalRoll-Revision1-ENG-170-WI.pdf" TargetMode="External"/><Relationship Id="rId630" Type="http://schemas.openxmlformats.org/officeDocument/2006/relationships/hyperlink" Target="https://cookiepdf-v2-assests.s3.ap-south-1.amazonaws.com/NCT+OF+Delhi/CENTRAL/3+-+TIMARPUR_178/2025-EROLLGEN-U05-3-FinalRoll-Revision1-ENG-27-WI.pdf" TargetMode="External"/><Relationship Id="rId672" Type="http://schemas.openxmlformats.org/officeDocument/2006/relationships/hyperlink" Target="https://cookiepdf-v2-assests.s3.ap-south-1.amazonaws.com/NCT+OF+Delhi/CENTRAL/3+-+TIMARPUR_178/2025-EROLLGEN-U05-3-FinalRoll-Revision1-ENG-69-WI.pdf" TargetMode="External"/><Relationship Id="rId728" Type="http://schemas.openxmlformats.org/officeDocument/2006/relationships/hyperlink" Target="https://cookiepdf-v2-assests.s3.ap-south-1.amazonaws.com/NCT+OF+Delhi/CENTRAL/3+-+TIMARPUR_178/2025-EROLLGEN-U05-3-FinalRoll-Revision1-ENG-125-WI.pdf" TargetMode="External"/><Relationship Id="rId22" Type="http://schemas.openxmlformats.org/officeDocument/2006/relationships/hyperlink" Target="https://cookiepdf-v2-assests.s3.ap-south-1.amazonaws.com/NCT+OF+Delhi/NORTH/1+-+NERELA_295/2025-EROLLGEN-U05-1-FinalRoll-Revision1-ENG-22-WI.pdf" TargetMode="External"/><Relationship Id="rId64" Type="http://schemas.openxmlformats.org/officeDocument/2006/relationships/hyperlink" Target="https://cookiepdf-v2-assests.s3.ap-south-1.amazonaws.com/NCT+OF+Delhi/NORTH/1+-+NERELA_295/2025-EROLLGEN-U05-1-FinalRoll-Revision1-ENG-64-WI.pdf" TargetMode="External"/><Relationship Id="rId118" Type="http://schemas.openxmlformats.org/officeDocument/2006/relationships/hyperlink" Target="https://cookiepdf-v2-assests.s3.ap-south-1.amazonaws.com/NCT+OF+Delhi/NORTH/1+-+NERELA_295/2025-EROLLGEN-U05-1-FinalRoll-Revision1-ENG-118-WI.pdf" TargetMode="External"/><Relationship Id="rId325" Type="http://schemas.openxmlformats.org/officeDocument/2006/relationships/hyperlink" Target="https://cookiepdf-v2-assests.s3.ap-south-1.amazonaws.com/NCT+OF+Delhi/CENTRAL/2+-+BURARI_324/2025-EROLLGEN-U05-2-FinalRoll-Revision1-ENG-30-WI.pdf" TargetMode="External"/><Relationship Id="rId367" Type="http://schemas.openxmlformats.org/officeDocument/2006/relationships/hyperlink" Target="https://cookiepdf-v2-assests.s3.ap-south-1.amazonaws.com/NCT+OF+Delhi/CENTRAL/2+-+BURARI_324/2025-EROLLGEN-U05-2-FinalRoll-Revision1-ENG-72-WI.pdf" TargetMode="External"/><Relationship Id="rId532" Type="http://schemas.openxmlformats.org/officeDocument/2006/relationships/hyperlink" Target="https://cookiepdf-v2-assests.s3.ap-south-1.amazonaws.com/NCT+OF+Delhi/CENTRAL/2+-+BURARI_324/2025-EROLLGEN-U05-2-FinalRoll-Revision1-ENG-237-WI.pdf" TargetMode="External"/><Relationship Id="rId574" Type="http://schemas.openxmlformats.org/officeDocument/2006/relationships/hyperlink" Target="https://cookiepdf-v2-assests.s3.ap-south-1.amazonaws.com/NCT+OF+Delhi/CENTRAL/2+-+BURARI_324/2025-EROLLGEN-U05-2-FinalRoll-Revision1-ENG-279-WI.pdf" TargetMode="External"/><Relationship Id="rId171" Type="http://schemas.openxmlformats.org/officeDocument/2006/relationships/hyperlink" Target="https://cookiepdf-v2-assests.s3.ap-south-1.amazonaws.com/NCT+OF+Delhi/NORTH/1+-+NERELA_295/2025-EROLLGEN-U05-1-FinalRoll-Revision1-ENG-171-WI.pdf" TargetMode="External"/><Relationship Id="rId227" Type="http://schemas.openxmlformats.org/officeDocument/2006/relationships/hyperlink" Target="https://cookiepdf-v2-assests.s3.ap-south-1.amazonaws.com/NCT+OF+Delhi/NORTH/1+-+NERELA_295/2025-EROLLGEN-U05-1-FinalRoll-Revision1-ENG-227-WI.pdf" TargetMode="External"/><Relationship Id="rId781" Type="http://schemas.openxmlformats.org/officeDocument/2006/relationships/hyperlink" Target="https://cookiepdf-v2-assests.s3.ap-south-1.amazonaws.com/NCT+OF+Delhi/CENTRAL/3+-+TIMARPUR_178/2025-EROLLGEN-U05-3-FinalRoll-Revision1-ENG-178-WI.pdf" TargetMode="External"/><Relationship Id="rId269" Type="http://schemas.openxmlformats.org/officeDocument/2006/relationships/hyperlink" Target="https://cookiepdf-v2-assests.s3.ap-south-1.amazonaws.com/NCT+OF+Delhi/NORTH/1+-+NERELA_295/2025-EROLLGEN-U05-1-FinalRoll-Revision1-ENG-269-WI.pdf" TargetMode="External"/><Relationship Id="rId434" Type="http://schemas.openxmlformats.org/officeDocument/2006/relationships/hyperlink" Target="https://cookiepdf-v2-assests.s3.ap-south-1.amazonaws.com/NCT+OF+Delhi/CENTRAL/2+-+BURARI_324/2025-EROLLGEN-U05-2-FinalRoll-Revision1-ENG-139-WI.pdf" TargetMode="External"/><Relationship Id="rId476" Type="http://schemas.openxmlformats.org/officeDocument/2006/relationships/hyperlink" Target="https://cookiepdf-v2-assests.s3.ap-south-1.amazonaws.com/NCT+OF+Delhi/CENTRAL/2+-+BURARI_324/2025-EROLLGEN-U05-2-FinalRoll-Revision1-ENG-181-WI.pdf" TargetMode="External"/><Relationship Id="rId641" Type="http://schemas.openxmlformats.org/officeDocument/2006/relationships/hyperlink" Target="https://cookiepdf-v2-assests.s3.ap-south-1.amazonaws.com/NCT+OF+Delhi/CENTRAL/3+-+TIMARPUR_178/2025-EROLLGEN-U05-3-FinalRoll-Revision1-ENG-38-WI.pdf" TargetMode="External"/><Relationship Id="rId683" Type="http://schemas.openxmlformats.org/officeDocument/2006/relationships/hyperlink" Target="https://cookiepdf-v2-assests.s3.ap-south-1.amazonaws.com/NCT+OF+Delhi/CENTRAL/3+-+TIMARPUR_178/2025-EROLLGEN-U05-3-FinalRoll-Revision1-ENG-80-WI.pdf" TargetMode="External"/><Relationship Id="rId739" Type="http://schemas.openxmlformats.org/officeDocument/2006/relationships/hyperlink" Target="https://cookiepdf-v2-assests.s3.ap-south-1.amazonaws.com/NCT+OF+Delhi/CENTRAL/3+-+TIMARPUR_178/2025-EROLLGEN-U05-3-FinalRoll-Revision1-ENG-136-WI.pdf" TargetMode="External"/><Relationship Id="rId33" Type="http://schemas.openxmlformats.org/officeDocument/2006/relationships/hyperlink" Target="https://cookiepdf-v2-assests.s3.ap-south-1.amazonaws.com/NCT+OF+Delhi/NORTH/1+-+NERELA_295/2025-EROLLGEN-U05-1-FinalRoll-Revision1-ENG-33-WI.pdf" TargetMode="External"/><Relationship Id="rId129" Type="http://schemas.openxmlformats.org/officeDocument/2006/relationships/hyperlink" Target="https://cookiepdf-v2-assests.s3.ap-south-1.amazonaws.com/NCT+OF+Delhi/NORTH/1+-+NERELA_295/2025-EROLLGEN-U05-1-FinalRoll-Revision1-ENG-129-WI.pdf" TargetMode="External"/><Relationship Id="rId280" Type="http://schemas.openxmlformats.org/officeDocument/2006/relationships/hyperlink" Target="https://cookiepdf-v2-assests.s3.ap-south-1.amazonaws.com/NCT+OF+Delhi/NORTH/1+-+NERELA_295/2025-EROLLGEN-U05-1-FinalRoll-Revision1-ENG-280-WI.pdf" TargetMode="External"/><Relationship Id="rId336" Type="http://schemas.openxmlformats.org/officeDocument/2006/relationships/hyperlink" Target="https://cookiepdf-v2-assests.s3.ap-south-1.amazonaws.com/NCT+OF+Delhi/CENTRAL/2+-+BURARI_324/2025-EROLLGEN-U05-2-FinalRoll-Revision1-ENG-41-WI.pdf" TargetMode="External"/><Relationship Id="rId501" Type="http://schemas.openxmlformats.org/officeDocument/2006/relationships/hyperlink" Target="https://cookiepdf-v2-assests.s3.ap-south-1.amazonaws.com/NCT+OF+Delhi/CENTRAL/2+-+BURARI_324/2025-EROLLGEN-U05-2-FinalRoll-Revision1-ENG-206-WI.pdf" TargetMode="External"/><Relationship Id="rId543" Type="http://schemas.openxmlformats.org/officeDocument/2006/relationships/hyperlink" Target="https://cookiepdf-v2-assests.s3.ap-south-1.amazonaws.com/NCT+OF+Delhi/CENTRAL/2+-+BURARI_324/2025-EROLLGEN-U05-2-FinalRoll-Revision1-ENG-248-WI.pdf" TargetMode="External"/><Relationship Id="rId75" Type="http://schemas.openxmlformats.org/officeDocument/2006/relationships/hyperlink" Target="https://cookiepdf-v2-assests.s3.ap-south-1.amazonaws.com/NCT+OF+Delhi/NORTH/1+-+NERELA_295/2025-EROLLGEN-U05-1-FinalRoll-Revision1-ENG-75-WI.pdf" TargetMode="External"/><Relationship Id="rId140" Type="http://schemas.openxmlformats.org/officeDocument/2006/relationships/hyperlink" Target="https://cookiepdf-v2-assests.s3.ap-south-1.amazonaws.com/NCT+OF+Delhi/NORTH/1+-+NERELA_295/2025-EROLLGEN-U05-1-FinalRoll-Revision1-ENG-140-WI.pdf" TargetMode="External"/><Relationship Id="rId182" Type="http://schemas.openxmlformats.org/officeDocument/2006/relationships/hyperlink" Target="https://cookiepdf-v2-assests.s3.ap-south-1.amazonaws.com/NCT+OF+Delhi/NORTH/1+-+NERELA_295/2025-EROLLGEN-U05-1-FinalRoll-Revision1-ENG-182-WI.pdf" TargetMode="External"/><Relationship Id="rId378" Type="http://schemas.openxmlformats.org/officeDocument/2006/relationships/hyperlink" Target="https://cookiepdf-v2-assests.s3.ap-south-1.amazonaws.com/NCT+OF+Delhi/CENTRAL/2+-+BURARI_324/2025-EROLLGEN-U05-2-FinalRoll-Revision1-ENG-83-WI.pdf" TargetMode="External"/><Relationship Id="rId403" Type="http://schemas.openxmlformats.org/officeDocument/2006/relationships/hyperlink" Target="https://cookiepdf-v2-assests.s3.ap-south-1.amazonaws.com/NCT+OF+Delhi/CENTRAL/2+-+BURARI_324/2025-EROLLGEN-U05-2-FinalRoll-Revision1-ENG-108-WI.pdf" TargetMode="External"/><Relationship Id="rId585" Type="http://schemas.openxmlformats.org/officeDocument/2006/relationships/hyperlink" Target="https://cookiepdf-v2-assests.s3.ap-south-1.amazonaws.com/NCT+OF+Delhi/CENTRAL/2+-+BURARI_324/2025-EROLLGEN-U05-2-FinalRoll-Revision1-ENG-290-WI.pdf" TargetMode="External"/><Relationship Id="rId750" Type="http://schemas.openxmlformats.org/officeDocument/2006/relationships/hyperlink" Target="https://cookiepdf-v2-assests.s3.ap-south-1.amazonaws.com/NCT+OF+Delhi/CENTRAL/3+-+TIMARPUR_178/2025-EROLLGEN-U05-3-FinalRoll-Revision1-ENG-147-WI.pdf" TargetMode="External"/><Relationship Id="rId6" Type="http://schemas.openxmlformats.org/officeDocument/2006/relationships/hyperlink" Target="https://cookiepdf-v2-assests.s3.ap-south-1.amazonaws.com/NCT+OF+Delhi/NORTH/1+-+NERELA_295/2025-EROLLGEN-U05-1-FinalRoll-Revision1-ENG-6-WI.pdf" TargetMode="External"/><Relationship Id="rId238" Type="http://schemas.openxmlformats.org/officeDocument/2006/relationships/hyperlink" Target="https://cookiepdf-v2-assests.s3.ap-south-1.amazonaws.com/NCT+OF+Delhi/NORTH/1+-+NERELA_295/2025-EROLLGEN-U05-1-FinalRoll-Revision1-ENG-238-WI.pdf" TargetMode="External"/><Relationship Id="rId445" Type="http://schemas.openxmlformats.org/officeDocument/2006/relationships/hyperlink" Target="https://cookiepdf-v2-assests.s3.ap-south-1.amazonaws.com/NCT+OF+Delhi/CENTRAL/2+-+BURARI_324/2025-EROLLGEN-U05-2-FinalRoll-Revision1-ENG-150-WI.pdf" TargetMode="External"/><Relationship Id="rId487" Type="http://schemas.openxmlformats.org/officeDocument/2006/relationships/hyperlink" Target="https://cookiepdf-v2-assests.s3.ap-south-1.amazonaws.com/NCT+OF+Delhi/CENTRAL/2+-+BURARI_324/2025-EROLLGEN-U05-2-FinalRoll-Revision1-ENG-192-WI.pdf" TargetMode="External"/><Relationship Id="rId610" Type="http://schemas.openxmlformats.org/officeDocument/2006/relationships/hyperlink" Target="https://cookiepdf-v2-assests.s3.ap-south-1.amazonaws.com/NCT+OF+Delhi/CENTRAL/3+-+TIMARPUR_178/2025-EROLLGEN-U05-3-FinalRoll-Revision1-ENG-7-WI.pdf" TargetMode="External"/><Relationship Id="rId652" Type="http://schemas.openxmlformats.org/officeDocument/2006/relationships/hyperlink" Target="https://cookiepdf-v2-assests.s3.ap-south-1.amazonaws.com/NCT+OF+Delhi/CENTRAL/3+-+TIMARPUR_178/2025-EROLLGEN-U05-3-FinalRoll-Revision1-ENG-49-WI.pdf" TargetMode="External"/><Relationship Id="rId694" Type="http://schemas.openxmlformats.org/officeDocument/2006/relationships/hyperlink" Target="https://cookiepdf-v2-assests.s3.ap-south-1.amazonaws.com/NCT+OF+Delhi/CENTRAL/3+-+TIMARPUR_178/2025-EROLLGEN-U05-3-FinalRoll-Revision1-ENG-91-WI.pdf" TargetMode="External"/><Relationship Id="rId708" Type="http://schemas.openxmlformats.org/officeDocument/2006/relationships/hyperlink" Target="https://cookiepdf-v2-assests.s3.ap-south-1.amazonaws.com/NCT+OF+Delhi/CENTRAL/3+-+TIMARPUR_178/2025-EROLLGEN-U05-3-FinalRoll-Revision1-ENG-105-WI.pdf" TargetMode="External"/><Relationship Id="rId291" Type="http://schemas.openxmlformats.org/officeDocument/2006/relationships/hyperlink" Target="https://cookiepdf-v2-assests.s3.ap-south-1.amazonaws.com/NCT+OF+Delhi/NORTH/1+-+NERELA_295/2025-EROLLGEN-U05-1-FinalRoll-Revision1-ENG-291-WI.pdf" TargetMode="External"/><Relationship Id="rId305" Type="http://schemas.openxmlformats.org/officeDocument/2006/relationships/hyperlink" Target="https://cookiepdf-v2-assests.s3.ap-south-1.amazonaws.com/NCT+OF+Delhi/CENTRAL/2+-+BURARI_324/2025-EROLLGEN-U05-2-FinalRoll-Revision1-ENG-10-WI.pdf" TargetMode="External"/><Relationship Id="rId347" Type="http://schemas.openxmlformats.org/officeDocument/2006/relationships/hyperlink" Target="https://cookiepdf-v2-assests.s3.ap-south-1.amazonaws.com/NCT+OF+Delhi/CENTRAL/2+-+BURARI_324/2025-EROLLGEN-U05-2-FinalRoll-Revision1-ENG-52-WI.pdf" TargetMode="External"/><Relationship Id="rId512" Type="http://schemas.openxmlformats.org/officeDocument/2006/relationships/hyperlink" Target="https://cookiepdf-v2-assests.s3.ap-south-1.amazonaws.com/NCT+OF+Delhi/CENTRAL/2+-+BURARI_324/2025-EROLLGEN-U05-2-FinalRoll-Revision1-ENG-217-WI.pdf" TargetMode="External"/><Relationship Id="rId44" Type="http://schemas.openxmlformats.org/officeDocument/2006/relationships/hyperlink" Target="https://cookiepdf-v2-assests.s3.ap-south-1.amazonaws.com/NCT+OF+Delhi/NORTH/1+-+NERELA_295/2025-EROLLGEN-U05-1-FinalRoll-Revision1-ENG-44-WI.pdf" TargetMode="External"/><Relationship Id="rId86" Type="http://schemas.openxmlformats.org/officeDocument/2006/relationships/hyperlink" Target="https://cookiepdf-v2-assests.s3.ap-south-1.amazonaws.com/NCT+OF+Delhi/NORTH/1+-+NERELA_295/2025-EROLLGEN-U05-1-FinalRoll-Revision1-ENG-86-WI.pdf" TargetMode="External"/><Relationship Id="rId151" Type="http://schemas.openxmlformats.org/officeDocument/2006/relationships/hyperlink" Target="https://cookiepdf-v2-assests.s3.ap-south-1.amazonaws.com/NCT+OF+Delhi/NORTH/1+-+NERELA_295/2025-EROLLGEN-U05-1-FinalRoll-Revision1-ENG-151-WI.pdf" TargetMode="External"/><Relationship Id="rId389" Type="http://schemas.openxmlformats.org/officeDocument/2006/relationships/hyperlink" Target="https://cookiepdf-v2-assests.s3.ap-south-1.amazonaws.com/NCT+OF+Delhi/CENTRAL/2+-+BURARI_324/2025-EROLLGEN-U05-2-FinalRoll-Revision1-ENG-94-WI.pdf" TargetMode="External"/><Relationship Id="rId554" Type="http://schemas.openxmlformats.org/officeDocument/2006/relationships/hyperlink" Target="https://cookiepdf-v2-assests.s3.ap-south-1.amazonaws.com/NCT+OF+Delhi/CENTRAL/2+-+BURARI_324/2025-EROLLGEN-U05-2-FinalRoll-Revision1-ENG-259-WI.pdf" TargetMode="External"/><Relationship Id="rId596" Type="http://schemas.openxmlformats.org/officeDocument/2006/relationships/hyperlink" Target="https://cookiepdf-v2-assests.s3.ap-south-1.amazonaws.com/NCT+OF+Delhi/CENTRAL/2+-+BURARI_324/2025-EROLLGEN-U05-2-FinalRoll-Revision1-ENG-301-WI.pdf" TargetMode="External"/><Relationship Id="rId761" Type="http://schemas.openxmlformats.org/officeDocument/2006/relationships/hyperlink" Target="https://cookiepdf-v2-assests.s3.ap-south-1.amazonaws.com/NCT+OF+Delhi/CENTRAL/3+-+TIMARPUR_178/2025-EROLLGEN-U05-3-FinalRoll-Revision1-ENG-158-WI.pdf" TargetMode="External"/><Relationship Id="rId193" Type="http://schemas.openxmlformats.org/officeDocument/2006/relationships/hyperlink" Target="https://cookiepdf-v2-assests.s3.ap-south-1.amazonaws.com/NCT+OF+Delhi/NORTH/1+-+NERELA_295/2025-EROLLGEN-U05-1-FinalRoll-Revision1-ENG-193-WI.pdf" TargetMode="External"/><Relationship Id="rId207" Type="http://schemas.openxmlformats.org/officeDocument/2006/relationships/hyperlink" Target="https://cookiepdf-v2-assests.s3.ap-south-1.amazonaws.com/NCT+OF+Delhi/NORTH/1+-+NERELA_295/2025-EROLLGEN-U05-1-FinalRoll-Revision1-ENG-207-WI.pdf" TargetMode="External"/><Relationship Id="rId249" Type="http://schemas.openxmlformats.org/officeDocument/2006/relationships/hyperlink" Target="https://cookiepdf-v2-assests.s3.ap-south-1.amazonaws.com/NCT+OF+Delhi/NORTH/1+-+NERELA_295/2025-EROLLGEN-U05-1-FinalRoll-Revision1-ENG-249-WI.pdf" TargetMode="External"/><Relationship Id="rId414" Type="http://schemas.openxmlformats.org/officeDocument/2006/relationships/hyperlink" Target="https://cookiepdf-v2-assests.s3.ap-south-1.amazonaws.com/NCT+OF+Delhi/CENTRAL/2+-+BURARI_324/2025-EROLLGEN-U05-2-FinalRoll-Revision1-ENG-119-WI.pdf" TargetMode="External"/><Relationship Id="rId456" Type="http://schemas.openxmlformats.org/officeDocument/2006/relationships/hyperlink" Target="https://cookiepdf-v2-assests.s3.ap-south-1.amazonaws.com/NCT+OF+Delhi/CENTRAL/2+-+BURARI_324/2025-EROLLGEN-U05-2-FinalRoll-Revision1-ENG-161-WI.pdf" TargetMode="External"/><Relationship Id="rId498" Type="http://schemas.openxmlformats.org/officeDocument/2006/relationships/hyperlink" Target="https://cookiepdf-v2-assests.s3.ap-south-1.amazonaws.com/NCT+OF+Delhi/CENTRAL/2+-+BURARI_324/2025-EROLLGEN-U05-2-FinalRoll-Revision1-ENG-203-WI.pdf" TargetMode="External"/><Relationship Id="rId621" Type="http://schemas.openxmlformats.org/officeDocument/2006/relationships/hyperlink" Target="https://cookiepdf-v2-assests.s3.ap-south-1.amazonaws.com/NCT+OF+Delhi/CENTRAL/3+-+TIMARPUR_178/2025-EROLLGEN-U05-3-FinalRoll-Revision1-ENG-18-WI.pdf" TargetMode="External"/><Relationship Id="rId663" Type="http://schemas.openxmlformats.org/officeDocument/2006/relationships/hyperlink" Target="https://cookiepdf-v2-assests.s3.ap-south-1.amazonaws.com/NCT+OF+Delhi/CENTRAL/3+-+TIMARPUR_178/2025-EROLLGEN-U05-3-FinalRoll-Revision1-ENG-60-WI.pdf" TargetMode="External"/><Relationship Id="rId13" Type="http://schemas.openxmlformats.org/officeDocument/2006/relationships/hyperlink" Target="https://cookiepdf-v2-assests.s3.ap-south-1.amazonaws.com/NCT+OF+Delhi/NORTH/1+-+NERELA_295/2025-EROLLGEN-U05-1-FinalRoll-Revision1-ENG-13-WI.pdf" TargetMode="External"/><Relationship Id="rId109" Type="http://schemas.openxmlformats.org/officeDocument/2006/relationships/hyperlink" Target="https://cookiepdf-v2-assests.s3.ap-south-1.amazonaws.com/NCT+OF+Delhi/NORTH/1+-+NERELA_295/2025-EROLLGEN-U05-1-FinalRoll-Revision1-ENG-109-WI.pdf" TargetMode="External"/><Relationship Id="rId260" Type="http://schemas.openxmlformats.org/officeDocument/2006/relationships/hyperlink" Target="https://cookiepdf-v2-assests.s3.ap-south-1.amazonaws.com/NCT+OF+Delhi/NORTH/1+-+NERELA_295/2025-EROLLGEN-U05-1-FinalRoll-Revision1-ENG-260-WI.pdf" TargetMode="External"/><Relationship Id="rId316" Type="http://schemas.openxmlformats.org/officeDocument/2006/relationships/hyperlink" Target="https://cookiepdf-v2-assests.s3.ap-south-1.amazonaws.com/NCT+OF+Delhi/CENTRAL/2+-+BURARI_324/2025-EROLLGEN-U05-2-FinalRoll-Revision1-ENG-21-WI.pdf" TargetMode="External"/><Relationship Id="rId523" Type="http://schemas.openxmlformats.org/officeDocument/2006/relationships/hyperlink" Target="https://cookiepdf-v2-assests.s3.ap-south-1.amazonaws.com/NCT+OF+Delhi/CENTRAL/2+-+BURARI_324/2025-EROLLGEN-U05-2-FinalRoll-Revision1-ENG-228-WI.pdf" TargetMode="External"/><Relationship Id="rId719" Type="http://schemas.openxmlformats.org/officeDocument/2006/relationships/hyperlink" Target="https://cookiepdf-v2-assests.s3.ap-south-1.amazonaws.com/NCT+OF+Delhi/CENTRAL/3+-+TIMARPUR_178/2025-EROLLGEN-U05-3-FinalRoll-Revision1-ENG-116-WI.pdf" TargetMode="External"/><Relationship Id="rId55" Type="http://schemas.openxmlformats.org/officeDocument/2006/relationships/hyperlink" Target="https://cookiepdf-v2-assests.s3.ap-south-1.amazonaws.com/NCT+OF+Delhi/NORTH/1+-+NERELA_295/2025-EROLLGEN-U05-1-FinalRoll-Revision1-ENG-55-WI.pdf" TargetMode="External"/><Relationship Id="rId97" Type="http://schemas.openxmlformats.org/officeDocument/2006/relationships/hyperlink" Target="https://cookiepdf-v2-assests.s3.ap-south-1.amazonaws.com/NCT+OF+Delhi/NORTH/1+-+NERELA_295/2025-EROLLGEN-U05-1-FinalRoll-Revision1-ENG-97-WI.pdf" TargetMode="External"/><Relationship Id="rId120" Type="http://schemas.openxmlformats.org/officeDocument/2006/relationships/hyperlink" Target="https://cookiepdf-v2-assests.s3.ap-south-1.amazonaws.com/NCT+OF+Delhi/NORTH/1+-+NERELA_295/2025-EROLLGEN-U05-1-FinalRoll-Revision1-ENG-120-WI.pdf" TargetMode="External"/><Relationship Id="rId358" Type="http://schemas.openxmlformats.org/officeDocument/2006/relationships/hyperlink" Target="https://cookiepdf-v2-assests.s3.ap-south-1.amazonaws.com/NCT+OF+Delhi/CENTRAL/2+-+BURARI_324/2025-EROLLGEN-U05-2-FinalRoll-Revision1-ENG-63-WI.pdf" TargetMode="External"/><Relationship Id="rId565" Type="http://schemas.openxmlformats.org/officeDocument/2006/relationships/hyperlink" Target="https://cookiepdf-v2-assests.s3.ap-south-1.amazonaws.com/NCT+OF+Delhi/CENTRAL/2+-+BURARI_324/2025-EROLLGEN-U05-2-FinalRoll-Revision1-ENG-270-WI.pdf" TargetMode="External"/><Relationship Id="rId730" Type="http://schemas.openxmlformats.org/officeDocument/2006/relationships/hyperlink" Target="https://cookiepdf-v2-assests.s3.ap-south-1.amazonaws.com/NCT+OF+Delhi/CENTRAL/3+-+TIMARPUR_178/2025-EROLLGEN-U05-3-FinalRoll-Revision1-ENG-127-WI.pdf" TargetMode="External"/><Relationship Id="rId772" Type="http://schemas.openxmlformats.org/officeDocument/2006/relationships/hyperlink" Target="https://cookiepdf-v2-assests.s3.ap-south-1.amazonaws.com/NCT+OF+Delhi/CENTRAL/3+-+TIMARPUR_178/2025-EROLLGEN-U05-3-FinalRoll-Revision1-ENG-169-WI.pdf" TargetMode="External"/><Relationship Id="rId162" Type="http://schemas.openxmlformats.org/officeDocument/2006/relationships/hyperlink" Target="https://cookiepdf-v2-assests.s3.ap-south-1.amazonaws.com/NCT+OF+Delhi/NORTH/1+-+NERELA_295/2025-EROLLGEN-U05-1-FinalRoll-Revision1-ENG-162-WI.pdf" TargetMode="External"/><Relationship Id="rId218" Type="http://schemas.openxmlformats.org/officeDocument/2006/relationships/hyperlink" Target="https://cookiepdf-v2-assests.s3.ap-south-1.amazonaws.com/NCT+OF+Delhi/NORTH/1+-+NERELA_295/2025-EROLLGEN-U05-1-FinalRoll-Revision1-ENG-218-WI.pdf" TargetMode="External"/><Relationship Id="rId425" Type="http://schemas.openxmlformats.org/officeDocument/2006/relationships/hyperlink" Target="https://cookiepdf-v2-assests.s3.ap-south-1.amazonaws.com/NCT+OF+Delhi/CENTRAL/2+-+BURARI_324/2025-EROLLGEN-U05-2-FinalRoll-Revision1-ENG-130-WI.pdf" TargetMode="External"/><Relationship Id="rId467" Type="http://schemas.openxmlformats.org/officeDocument/2006/relationships/hyperlink" Target="https://cookiepdf-v2-assests.s3.ap-south-1.amazonaws.com/NCT+OF+Delhi/CENTRAL/2+-+BURARI_324/2025-EROLLGEN-U05-2-FinalRoll-Revision1-ENG-172-WI.pdf" TargetMode="External"/><Relationship Id="rId632" Type="http://schemas.openxmlformats.org/officeDocument/2006/relationships/hyperlink" Target="https://cookiepdf-v2-assests.s3.ap-south-1.amazonaws.com/NCT+OF+Delhi/CENTRAL/3+-+TIMARPUR_178/2025-EROLLGEN-U05-3-FinalRoll-Revision1-ENG-29-WI.pdf" TargetMode="External"/><Relationship Id="rId271" Type="http://schemas.openxmlformats.org/officeDocument/2006/relationships/hyperlink" Target="https://cookiepdf-v2-assests.s3.ap-south-1.amazonaws.com/NCT+OF+Delhi/NORTH/1+-+NERELA_295/2025-EROLLGEN-U05-1-FinalRoll-Revision1-ENG-271-WI.pdf" TargetMode="External"/><Relationship Id="rId674" Type="http://schemas.openxmlformats.org/officeDocument/2006/relationships/hyperlink" Target="https://cookiepdf-v2-assests.s3.ap-south-1.amazonaws.com/NCT+OF+Delhi/CENTRAL/3+-+TIMARPUR_178/2025-EROLLGEN-U05-3-FinalRoll-Revision1-ENG-71-WI.pdf" TargetMode="External"/><Relationship Id="rId24" Type="http://schemas.openxmlformats.org/officeDocument/2006/relationships/hyperlink" Target="https://cookiepdf-v2-assests.s3.ap-south-1.amazonaws.com/NCT+OF+Delhi/NORTH/1+-+NERELA_295/2025-EROLLGEN-U05-1-FinalRoll-Revision1-ENG-24-WI.pdf" TargetMode="External"/><Relationship Id="rId66" Type="http://schemas.openxmlformats.org/officeDocument/2006/relationships/hyperlink" Target="https://cookiepdf-v2-assests.s3.ap-south-1.amazonaws.com/NCT+OF+Delhi/NORTH/1+-+NERELA_295/2025-EROLLGEN-U05-1-FinalRoll-Revision1-ENG-66-WI.pdf" TargetMode="External"/><Relationship Id="rId131" Type="http://schemas.openxmlformats.org/officeDocument/2006/relationships/hyperlink" Target="https://cookiepdf-v2-assests.s3.ap-south-1.amazonaws.com/NCT+OF+Delhi/NORTH/1+-+NERELA_295/2025-EROLLGEN-U05-1-FinalRoll-Revision1-ENG-131-WI.pdf" TargetMode="External"/><Relationship Id="rId327" Type="http://schemas.openxmlformats.org/officeDocument/2006/relationships/hyperlink" Target="https://cookiepdf-v2-assests.s3.ap-south-1.amazonaws.com/NCT+OF+Delhi/CENTRAL/2+-+BURARI_324/2025-EROLLGEN-U05-2-FinalRoll-Revision1-ENG-32-WI.pdf" TargetMode="External"/><Relationship Id="rId369" Type="http://schemas.openxmlformats.org/officeDocument/2006/relationships/hyperlink" Target="https://cookiepdf-v2-assests.s3.ap-south-1.amazonaws.com/NCT+OF+Delhi/CENTRAL/2+-+BURARI_324/2025-EROLLGEN-U05-2-FinalRoll-Revision1-ENG-74-WI.pdf" TargetMode="External"/><Relationship Id="rId534" Type="http://schemas.openxmlformats.org/officeDocument/2006/relationships/hyperlink" Target="https://cookiepdf-v2-assests.s3.ap-south-1.amazonaws.com/NCT+OF+Delhi/CENTRAL/2+-+BURARI_324/2025-EROLLGEN-U05-2-FinalRoll-Revision1-ENG-239-WI.pdf" TargetMode="External"/><Relationship Id="rId576" Type="http://schemas.openxmlformats.org/officeDocument/2006/relationships/hyperlink" Target="https://cookiepdf-v2-assests.s3.ap-south-1.amazonaws.com/NCT+OF+Delhi/CENTRAL/2+-+BURARI_324/2025-EROLLGEN-U05-2-FinalRoll-Revision1-ENG-281-WI.pdf" TargetMode="External"/><Relationship Id="rId741" Type="http://schemas.openxmlformats.org/officeDocument/2006/relationships/hyperlink" Target="https://cookiepdf-v2-assests.s3.ap-south-1.amazonaws.com/NCT+OF+Delhi/CENTRAL/3+-+TIMARPUR_178/2025-EROLLGEN-U05-3-FinalRoll-Revision1-ENG-138-WI.pdf" TargetMode="External"/><Relationship Id="rId173" Type="http://schemas.openxmlformats.org/officeDocument/2006/relationships/hyperlink" Target="https://cookiepdf-v2-assests.s3.ap-south-1.amazonaws.com/NCT+OF+Delhi/NORTH/1+-+NERELA_295/2025-EROLLGEN-U05-1-FinalRoll-Revision1-ENG-173-WI.pdf" TargetMode="External"/><Relationship Id="rId229" Type="http://schemas.openxmlformats.org/officeDocument/2006/relationships/hyperlink" Target="https://cookiepdf-v2-assests.s3.ap-south-1.amazonaws.com/NCT+OF+Delhi/NORTH/1+-+NERELA_295/2025-EROLLGEN-U05-1-FinalRoll-Revision1-ENG-229-WI.pdf" TargetMode="External"/><Relationship Id="rId380" Type="http://schemas.openxmlformats.org/officeDocument/2006/relationships/hyperlink" Target="https://cookiepdf-v2-assests.s3.ap-south-1.amazonaws.com/NCT+OF+Delhi/CENTRAL/2+-+BURARI_324/2025-EROLLGEN-U05-2-FinalRoll-Revision1-ENG-85-WI.pdf" TargetMode="External"/><Relationship Id="rId436" Type="http://schemas.openxmlformats.org/officeDocument/2006/relationships/hyperlink" Target="https://cookiepdf-v2-assests.s3.ap-south-1.amazonaws.com/NCT+OF+Delhi/CENTRAL/2+-+BURARI_324/2025-EROLLGEN-U05-2-FinalRoll-Revision1-ENG-141-WI.pdf" TargetMode="External"/><Relationship Id="rId601" Type="http://schemas.openxmlformats.org/officeDocument/2006/relationships/hyperlink" Target="https://cookiepdf-v2-assests.s3.ap-south-1.amazonaws.com/NCT+OF+Delhi/CENTRAL/2+-+BURARI_324/2025-EROLLGEN-U05-2-FinalRoll-Revision1-ENG-306-WI.pdf" TargetMode="External"/><Relationship Id="rId643" Type="http://schemas.openxmlformats.org/officeDocument/2006/relationships/hyperlink" Target="https://cookiepdf-v2-assests.s3.ap-south-1.amazonaws.com/NCT+OF+Delhi/CENTRAL/3+-+TIMARPUR_178/2025-EROLLGEN-U05-3-FinalRoll-Revision1-ENG-40-WI.pdf" TargetMode="External"/><Relationship Id="rId240" Type="http://schemas.openxmlformats.org/officeDocument/2006/relationships/hyperlink" Target="https://cookiepdf-v2-assests.s3.ap-south-1.amazonaws.com/NCT+OF+Delhi/NORTH/1+-+NERELA_295/2025-EROLLGEN-U05-1-FinalRoll-Revision1-ENG-240-WI.pdf" TargetMode="External"/><Relationship Id="rId478" Type="http://schemas.openxmlformats.org/officeDocument/2006/relationships/hyperlink" Target="https://cookiepdf-v2-assests.s3.ap-south-1.amazonaws.com/NCT+OF+Delhi/CENTRAL/2+-+BURARI_324/2025-EROLLGEN-U05-2-FinalRoll-Revision1-ENG-183-WI.pdf" TargetMode="External"/><Relationship Id="rId685" Type="http://schemas.openxmlformats.org/officeDocument/2006/relationships/hyperlink" Target="https://cookiepdf-v2-assests.s3.ap-south-1.amazonaws.com/NCT+OF+Delhi/CENTRAL/3+-+TIMARPUR_178/2025-EROLLGEN-U05-3-FinalRoll-Revision1-ENG-82-WI.pdf" TargetMode="External"/><Relationship Id="rId35" Type="http://schemas.openxmlformats.org/officeDocument/2006/relationships/hyperlink" Target="https://cookiepdf-v2-assests.s3.ap-south-1.amazonaws.com/NCT+OF+Delhi/NORTH/1+-+NERELA_295/2025-EROLLGEN-U05-1-FinalRoll-Revision1-ENG-35-WI.pdf" TargetMode="External"/><Relationship Id="rId77" Type="http://schemas.openxmlformats.org/officeDocument/2006/relationships/hyperlink" Target="https://cookiepdf-v2-assests.s3.ap-south-1.amazonaws.com/NCT+OF+Delhi/NORTH/1+-+NERELA_295/2025-EROLLGEN-U05-1-FinalRoll-Revision1-ENG-77-WI.pdf" TargetMode="External"/><Relationship Id="rId100" Type="http://schemas.openxmlformats.org/officeDocument/2006/relationships/hyperlink" Target="https://cookiepdf-v2-assests.s3.ap-south-1.amazonaws.com/NCT+OF+Delhi/NORTH/1+-+NERELA_295/2025-EROLLGEN-U05-1-FinalRoll-Revision1-ENG-100-WI.pdf" TargetMode="External"/><Relationship Id="rId282" Type="http://schemas.openxmlformats.org/officeDocument/2006/relationships/hyperlink" Target="https://cookiepdf-v2-assests.s3.ap-south-1.amazonaws.com/NCT+OF+Delhi/NORTH/1+-+NERELA_295/2025-EROLLGEN-U05-1-FinalRoll-Revision1-ENG-282-WI.pdf" TargetMode="External"/><Relationship Id="rId338" Type="http://schemas.openxmlformats.org/officeDocument/2006/relationships/hyperlink" Target="https://cookiepdf-v2-assests.s3.ap-south-1.amazonaws.com/NCT+OF+Delhi/CENTRAL/2+-+BURARI_324/2025-EROLLGEN-U05-2-FinalRoll-Revision1-ENG-43-WI.pdf" TargetMode="External"/><Relationship Id="rId503" Type="http://schemas.openxmlformats.org/officeDocument/2006/relationships/hyperlink" Target="https://cookiepdf-v2-assests.s3.ap-south-1.amazonaws.com/NCT+OF+Delhi/CENTRAL/2+-+BURARI_324/2025-EROLLGEN-U05-2-FinalRoll-Revision1-ENG-208-WI.pdf" TargetMode="External"/><Relationship Id="rId545" Type="http://schemas.openxmlformats.org/officeDocument/2006/relationships/hyperlink" Target="https://cookiepdf-v2-assests.s3.ap-south-1.amazonaws.com/NCT+OF+Delhi/CENTRAL/2+-+BURARI_324/2025-EROLLGEN-U05-2-FinalRoll-Revision1-ENG-250-WI.pdf" TargetMode="External"/><Relationship Id="rId587" Type="http://schemas.openxmlformats.org/officeDocument/2006/relationships/hyperlink" Target="https://cookiepdf-v2-assests.s3.ap-south-1.amazonaws.com/NCT+OF+Delhi/CENTRAL/2+-+BURARI_324/2025-EROLLGEN-U05-2-FinalRoll-Revision1-ENG-292-WI.pdf" TargetMode="External"/><Relationship Id="rId710" Type="http://schemas.openxmlformats.org/officeDocument/2006/relationships/hyperlink" Target="https://cookiepdf-v2-assests.s3.ap-south-1.amazonaws.com/NCT+OF+Delhi/CENTRAL/3+-+TIMARPUR_178/2025-EROLLGEN-U05-3-FinalRoll-Revision1-ENG-107-WI.pdf" TargetMode="External"/><Relationship Id="rId752" Type="http://schemas.openxmlformats.org/officeDocument/2006/relationships/hyperlink" Target="https://cookiepdf-v2-assests.s3.ap-south-1.amazonaws.com/NCT+OF+Delhi/CENTRAL/3+-+TIMARPUR_178/2025-EROLLGEN-U05-3-FinalRoll-Revision1-ENG-149-WI.pdf" TargetMode="External"/><Relationship Id="rId8" Type="http://schemas.openxmlformats.org/officeDocument/2006/relationships/hyperlink" Target="https://cookiepdf-v2-assests.s3.ap-south-1.amazonaws.com/NCT+OF+Delhi/NORTH/1+-+NERELA_295/2025-EROLLGEN-U05-1-FinalRoll-Revision1-ENG-8-WI.pdf" TargetMode="External"/><Relationship Id="rId142" Type="http://schemas.openxmlformats.org/officeDocument/2006/relationships/hyperlink" Target="https://cookiepdf-v2-assests.s3.ap-south-1.amazonaws.com/NCT+OF+Delhi/NORTH/1+-+NERELA_295/2025-EROLLGEN-U05-1-FinalRoll-Revision1-ENG-142-WI.pdf" TargetMode="External"/><Relationship Id="rId184" Type="http://schemas.openxmlformats.org/officeDocument/2006/relationships/hyperlink" Target="https://cookiepdf-v2-assests.s3.ap-south-1.amazonaws.com/NCT+OF+Delhi/NORTH/1+-+NERELA_295/2025-EROLLGEN-U05-1-FinalRoll-Revision1-ENG-184-WI.pdf" TargetMode="External"/><Relationship Id="rId391" Type="http://schemas.openxmlformats.org/officeDocument/2006/relationships/hyperlink" Target="https://cookiepdf-v2-assests.s3.ap-south-1.amazonaws.com/NCT+OF+Delhi/CENTRAL/2+-+BURARI_324/2025-EROLLGEN-U05-2-FinalRoll-Revision1-ENG-96-WI.pdf" TargetMode="External"/><Relationship Id="rId405" Type="http://schemas.openxmlformats.org/officeDocument/2006/relationships/hyperlink" Target="https://cookiepdf-v2-assests.s3.ap-south-1.amazonaws.com/NCT+OF+Delhi/CENTRAL/2+-+BURARI_324/2025-EROLLGEN-U05-2-FinalRoll-Revision1-ENG-110-WI.pdf" TargetMode="External"/><Relationship Id="rId447" Type="http://schemas.openxmlformats.org/officeDocument/2006/relationships/hyperlink" Target="https://cookiepdf-v2-assests.s3.ap-south-1.amazonaws.com/NCT+OF+Delhi/CENTRAL/2+-+BURARI_324/2025-EROLLGEN-U05-2-FinalRoll-Revision1-ENG-152-WI.pdf" TargetMode="External"/><Relationship Id="rId612" Type="http://schemas.openxmlformats.org/officeDocument/2006/relationships/hyperlink" Target="https://cookiepdf-v2-assests.s3.ap-south-1.amazonaws.com/NCT+OF+Delhi/CENTRAL/3+-+TIMARPUR_178/2025-EROLLGEN-U05-3-FinalRoll-Revision1-ENG-9-WI.pdf" TargetMode="External"/><Relationship Id="rId251" Type="http://schemas.openxmlformats.org/officeDocument/2006/relationships/hyperlink" Target="https://cookiepdf-v2-assests.s3.ap-south-1.amazonaws.com/NCT+OF+Delhi/NORTH/1+-+NERELA_295/2025-EROLLGEN-U05-1-FinalRoll-Revision1-ENG-251-WI.pdf" TargetMode="External"/><Relationship Id="rId489" Type="http://schemas.openxmlformats.org/officeDocument/2006/relationships/hyperlink" Target="https://cookiepdf-v2-assests.s3.ap-south-1.amazonaws.com/NCT+OF+Delhi/CENTRAL/2+-+BURARI_324/2025-EROLLGEN-U05-2-FinalRoll-Revision1-ENG-194-WI.pdf" TargetMode="External"/><Relationship Id="rId654" Type="http://schemas.openxmlformats.org/officeDocument/2006/relationships/hyperlink" Target="https://cookiepdf-v2-assests.s3.ap-south-1.amazonaws.com/NCT+OF+Delhi/CENTRAL/3+-+TIMARPUR_178/2025-EROLLGEN-U05-3-FinalRoll-Revision1-ENG-51-WI.pdf" TargetMode="External"/><Relationship Id="rId696" Type="http://schemas.openxmlformats.org/officeDocument/2006/relationships/hyperlink" Target="https://cookiepdf-v2-assests.s3.ap-south-1.amazonaws.com/NCT+OF+Delhi/CENTRAL/3+-+TIMARPUR_178/2025-EROLLGEN-U05-3-FinalRoll-Revision1-ENG-93-WI.pdf" TargetMode="External"/><Relationship Id="rId46" Type="http://schemas.openxmlformats.org/officeDocument/2006/relationships/hyperlink" Target="https://cookiepdf-v2-assests.s3.ap-south-1.amazonaws.com/NCT+OF+Delhi/NORTH/1+-+NERELA_295/2025-EROLLGEN-U05-1-FinalRoll-Revision1-ENG-46-WI.pdf" TargetMode="External"/><Relationship Id="rId293" Type="http://schemas.openxmlformats.org/officeDocument/2006/relationships/hyperlink" Target="https://cookiepdf-v2-assests.s3.ap-south-1.amazonaws.com/NCT+OF+Delhi/NORTH/1+-+NERELA_295/2025-EROLLGEN-U05-1-FinalRoll-Revision1-ENG-293-WI.pdf" TargetMode="External"/><Relationship Id="rId307" Type="http://schemas.openxmlformats.org/officeDocument/2006/relationships/hyperlink" Target="https://cookiepdf-v2-assests.s3.ap-south-1.amazonaws.com/NCT+OF+Delhi/CENTRAL/2+-+BURARI_324/2025-EROLLGEN-U05-2-FinalRoll-Revision1-ENG-12-WI.pdf" TargetMode="External"/><Relationship Id="rId349" Type="http://schemas.openxmlformats.org/officeDocument/2006/relationships/hyperlink" Target="https://cookiepdf-v2-assests.s3.ap-south-1.amazonaws.com/NCT+OF+Delhi/CENTRAL/2+-+BURARI_324/2025-EROLLGEN-U05-2-FinalRoll-Revision1-ENG-54-WI.pdf" TargetMode="External"/><Relationship Id="rId514" Type="http://schemas.openxmlformats.org/officeDocument/2006/relationships/hyperlink" Target="https://cookiepdf-v2-assests.s3.ap-south-1.amazonaws.com/NCT+OF+Delhi/CENTRAL/2+-+BURARI_324/2025-EROLLGEN-U05-2-FinalRoll-Revision1-ENG-219-WI.pdf" TargetMode="External"/><Relationship Id="rId556" Type="http://schemas.openxmlformats.org/officeDocument/2006/relationships/hyperlink" Target="https://cookiepdf-v2-assests.s3.ap-south-1.amazonaws.com/NCT+OF+Delhi/CENTRAL/2+-+BURARI_324/2025-EROLLGEN-U05-2-FinalRoll-Revision1-ENG-261-WI.pdf" TargetMode="External"/><Relationship Id="rId721" Type="http://schemas.openxmlformats.org/officeDocument/2006/relationships/hyperlink" Target="https://cookiepdf-v2-assests.s3.ap-south-1.amazonaws.com/NCT+OF+Delhi/CENTRAL/3+-+TIMARPUR_178/2025-EROLLGEN-U05-3-FinalRoll-Revision1-ENG-118-WI.pdf" TargetMode="External"/><Relationship Id="rId763" Type="http://schemas.openxmlformats.org/officeDocument/2006/relationships/hyperlink" Target="https://cookiepdf-v2-assests.s3.ap-south-1.amazonaws.com/NCT+OF+Delhi/CENTRAL/3+-+TIMARPUR_178/2025-EROLLGEN-U05-3-FinalRoll-Revision1-ENG-160-WI.pdf" TargetMode="External"/><Relationship Id="rId88" Type="http://schemas.openxmlformats.org/officeDocument/2006/relationships/hyperlink" Target="https://cookiepdf-v2-assests.s3.ap-south-1.amazonaws.com/NCT+OF+Delhi/NORTH/1+-+NERELA_295/2025-EROLLGEN-U05-1-FinalRoll-Revision1-ENG-88-WI.pdf" TargetMode="External"/><Relationship Id="rId111" Type="http://schemas.openxmlformats.org/officeDocument/2006/relationships/hyperlink" Target="https://cookiepdf-v2-assests.s3.ap-south-1.amazonaws.com/NCT+OF+Delhi/NORTH/1+-+NERELA_295/2025-EROLLGEN-U05-1-FinalRoll-Revision1-ENG-111-WI.pdf" TargetMode="External"/><Relationship Id="rId153" Type="http://schemas.openxmlformats.org/officeDocument/2006/relationships/hyperlink" Target="https://cookiepdf-v2-assests.s3.ap-south-1.amazonaws.com/NCT+OF+Delhi/NORTH/1+-+NERELA_295/2025-EROLLGEN-U05-1-FinalRoll-Revision1-ENG-153-WI.pdf" TargetMode="External"/><Relationship Id="rId195" Type="http://schemas.openxmlformats.org/officeDocument/2006/relationships/hyperlink" Target="https://cookiepdf-v2-assests.s3.ap-south-1.amazonaws.com/NCT+OF+Delhi/NORTH/1+-+NERELA_295/2025-EROLLGEN-U05-1-FinalRoll-Revision1-ENG-195-WI.pdf" TargetMode="External"/><Relationship Id="rId209" Type="http://schemas.openxmlformats.org/officeDocument/2006/relationships/hyperlink" Target="https://cookiepdf-v2-assests.s3.ap-south-1.amazonaws.com/NCT+OF+Delhi/NORTH/1+-+NERELA_295/2025-EROLLGEN-U05-1-FinalRoll-Revision1-ENG-209-WI.pdf" TargetMode="External"/><Relationship Id="rId360" Type="http://schemas.openxmlformats.org/officeDocument/2006/relationships/hyperlink" Target="https://cookiepdf-v2-assests.s3.ap-south-1.amazonaws.com/NCT+OF+Delhi/CENTRAL/2+-+BURARI_324/2025-EROLLGEN-U05-2-FinalRoll-Revision1-ENG-65-WI.pdf" TargetMode="External"/><Relationship Id="rId416" Type="http://schemas.openxmlformats.org/officeDocument/2006/relationships/hyperlink" Target="https://cookiepdf-v2-assests.s3.ap-south-1.amazonaws.com/NCT+OF+Delhi/CENTRAL/2+-+BURARI_324/2025-EROLLGEN-U05-2-FinalRoll-Revision1-ENG-121-WI.pdf" TargetMode="External"/><Relationship Id="rId598" Type="http://schemas.openxmlformats.org/officeDocument/2006/relationships/hyperlink" Target="https://cookiepdf-v2-assests.s3.ap-south-1.amazonaws.com/NCT+OF+Delhi/CENTRAL/2+-+BURARI_324/2025-EROLLGEN-U05-2-FinalRoll-Revision1-ENG-303-WI.pdf" TargetMode="External"/><Relationship Id="rId220" Type="http://schemas.openxmlformats.org/officeDocument/2006/relationships/hyperlink" Target="https://cookiepdf-v2-assests.s3.ap-south-1.amazonaws.com/NCT+OF+Delhi/NORTH/1+-+NERELA_295/2025-EROLLGEN-U05-1-FinalRoll-Revision1-ENG-220-WI.pdf" TargetMode="External"/><Relationship Id="rId458" Type="http://schemas.openxmlformats.org/officeDocument/2006/relationships/hyperlink" Target="https://cookiepdf-v2-assests.s3.ap-south-1.amazonaws.com/NCT+OF+Delhi/CENTRAL/2+-+BURARI_324/2025-EROLLGEN-U05-2-FinalRoll-Revision1-ENG-163-WI.pdf" TargetMode="External"/><Relationship Id="rId623" Type="http://schemas.openxmlformats.org/officeDocument/2006/relationships/hyperlink" Target="https://cookiepdf-v2-assests.s3.ap-south-1.amazonaws.com/NCT+OF+Delhi/CENTRAL/3+-+TIMARPUR_178/2025-EROLLGEN-U05-3-FinalRoll-Revision1-ENG-20-WI.pdf" TargetMode="External"/><Relationship Id="rId665" Type="http://schemas.openxmlformats.org/officeDocument/2006/relationships/hyperlink" Target="https://cookiepdf-v2-assests.s3.ap-south-1.amazonaws.com/NCT+OF+Delhi/CENTRAL/3+-+TIMARPUR_178/2025-EROLLGEN-U05-3-FinalRoll-Revision1-ENG-62-WI.pdf" TargetMode="External"/><Relationship Id="rId15" Type="http://schemas.openxmlformats.org/officeDocument/2006/relationships/hyperlink" Target="https://cookiepdf-v2-assests.s3.ap-south-1.amazonaws.com/NCT+OF+Delhi/NORTH/1+-+NERELA_295/2025-EROLLGEN-U05-1-FinalRoll-Revision1-ENG-15-WI.pdf" TargetMode="External"/><Relationship Id="rId57" Type="http://schemas.openxmlformats.org/officeDocument/2006/relationships/hyperlink" Target="https://cookiepdf-v2-assests.s3.ap-south-1.amazonaws.com/NCT+OF+Delhi/NORTH/1+-+NERELA_295/2025-EROLLGEN-U05-1-FinalRoll-Revision1-ENG-57-WI.pdf" TargetMode="External"/><Relationship Id="rId262" Type="http://schemas.openxmlformats.org/officeDocument/2006/relationships/hyperlink" Target="https://cookiepdf-v2-assests.s3.ap-south-1.amazonaws.com/NCT+OF+Delhi/NORTH/1+-+NERELA_295/2025-EROLLGEN-U05-1-FinalRoll-Revision1-ENG-262-WI.pdf" TargetMode="External"/><Relationship Id="rId318" Type="http://schemas.openxmlformats.org/officeDocument/2006/relationships/hyperlink" Target="https://cookiepdf-v2-assests.s3.ap-south-1.amazonaws.com/NCT+OF+Delhi/CENTRAL/2+-+BURARI_324/2025-EROLLGEN-U05-2-FinalRoll-Revision1-ENG-23-WI.pdf" TargetMode="External"/><Relationship Id="rId525" Type="http://schemas.openxmlformats.org/officeDocument/2006/relationships/hyperlink" Target="https://cookiepdf-v2-assests.s3.ap-south-1.amazonaws.com/NCT+OF+Delhi/CENTRAL/2+-+BURARI_324/2025-EROLLGEN-U05-2-FinalRoll-Revision1-ENG-230-WI.pdf" TargetMode="External"/><Relationship Id="rId567" Type="http://schemas.openxmlformats.org/officeDocument/2006/relationships/hyperlink" Target="https://cookiepdf-v2-assests.s3.ap-south-1.amazonaws.com/NCT+OF+Delhi/CENTRAL/2+-+BURARI_324/2025-EROLLGEN-U05-2-FinalRoll-Revision1-ENG-272-WI.pdf" TargetMode="External"/><Relationship Id="rId732" Type="http://schemas.openxmlformats.org/officeDocument/2006/relationships/hyperlink" Target="https://cookiepdf-v2-assests.s3.ap-south-1.amazonaws.com/NCT+OF+Delhi/CENTRAL/3+-+TIMARPUR_178/2025-EROLLGEN-U05-3-FinalRoll-Revision1-ENG-129-WI.pdf" TargetMode="External"/><Relationship Id="rId99" Type="http://schemas.openxmlformats.org/officeDocument/2006/relationships/hyperlink" Target="https://cookiepdf-v2-assests.s3.ap-south-1.amazonaws.com/NCT+OF+Delhi/NORTH/1+-+NERELA_295/2025-EROLLGEN-U05-1-FinalRoll-Revision1-ENG-99-WI.pdf" TargetMode="External"/><Relationship Id="rId122" Type="http://schemas.openxmlformats.org/officeDocument/2006/relationships/hyperlink" Target="https://cookiepdf-v2-assests.s3.ap-south-1.amazonaws.com/NCT+OF+Delhi/NORTH/1+-+NERELA_295/2025-EROLLGEN-U05-1-FinalRoll-Revision1-ENG-122-WI.pdf" TargetMode="External"/><Relationship Id="rId164" Type="http://schemas.openxmlformats.org/officeDocument/2006/relationships/hyperlink" Target="https://cookiepdf-v2-assests.s3.ap-south-1.amazonaws.com/NCT+OF+Delhi/NORTH/1+-+NERELA_295/2025-EROLLGEN-U05-1-FinalRoll-Revision1-ENG-164-WI.pdf" TargetMode="External"/><Relationship Id="rId371" Type="http://schemas.openxmlformats.org/officeDocument/2006/relationships/hyperlink" Target="https://cookiepdf-v2-assests.s3.ap-south-1.amazonaws.com/NCT+OF+Delhi/CENTRAL/2+-+BURARI_324/2025-EROLLGEN-U05-2-FinalRoll-Revision1-ENG-76-WI.pdf" TargetMode="External"/><Relationship Id="rId774" Type="http://schemas.openxmlformats.org/officeDocument/2006/relationships/hyperlink" Target="https://cookiepdf-v2-assests.s3.ap-south-1.amazonaws.com/NCT+OF+Delhi/CENTRAL/3+-+TIMARPUR_178/2025-EROLLGEN-U05-3-FinalRoll-Revision1-ENG-171-WI.pdf" TargetMode="External"/><Relationship Id="rId427" Type="http://schemas.openxmlformats.org/officeDocument/2006/relationships/hyperlink" Target="https://cookiepdf-v2-assests.s3.ap-south-1.amazonaws.com/NCT+OF+Delhi/CENTRAL/2+-+BURARI_324/2025-EROLLGEN-U05-2-FinalRoll-Revision1-ENG-132-WI.pdf" TargetMode="External"/><Relationship Id="rId469" Type="http://schemas.openxmlformats.org/officeDocument/2006/relationships/hyperlink" Target="https://cookiepdf-v2-assests.s3.ap-south-1.amazonaws.com/NCT+OF+Delhi/CENTRAL/2+-+BURARI_324/2025-EROLLGEN-U05-2-FinalRoll-Revision1-ENG-174-WI.pdf" TargetMode="External"/><Relationship Id="rId634" Type="http://schemas.openxmlformats.org/officeDocument/2006/relationships/hyperlink" Target="https://cookiepdf-v2-assests.s3.ap-south-1.amazonaws.com/NCT+OF+Delhi/CENTRAL/3+-+TIMARPUR_178/2025-EROLLGEN-U05-3-FinalRoll-Revision1-ENG-31-WI.pdf" TargetMode="External"/><Relationship Id="rId676" Type="http://schemas.openxmlformats.org/officeDocument/2006/relationships/hyperlink" Target="https://cookiepdf-v2-assests.s3.ap-south-1.amazonaws.com/NCT+OF+Delhi/CENTRAL/3+-+TIMARPUR_178/2025-EROLLGEN-U05-3-FinalRoll-Revision1-ENG-73-WI.pdf" TargetMode="External"/><Relationship Id="rId26" Type="http://schemas.openxmlformats.org/officeDocument/2006/relationships/hyperlink" Target="https://cookiepdf-v2-assests.s3.ap-south-1.amazonaws.com/NCT+OF+Delhi/NORTH/1+-+NERELA_295/2025-EROLLGEN-U05-1-FinalRoll-Revision1-ENG-26-WI.pdf" TargetMode="External"/><Relationship Id="rId231" Type="http://schemas.openxmlformats.org/officeDocument/2006/relationships/hyperlink" Target="https://cookiepdf-v2-assests.s3.ap-south-1.amazonaws.com/NCT+OF+Delhi/NORTH/1+-+NERELA_295/2025-EROLLGEN-U05-1-FinalRoll-Revision1-ENG-231-WI.pdf" TargetMode="External"/><Relationship Id="rId273" Type="http://schemas.openxmlformats.org/officeDocument/2006/relationships/hyperlink" Target="https://cookiepdf-v2-assests.s3.ap-south-1.amazonaws.com/NCT+OF+Delhi/NORTH/1+-+NERELA_295/2025-EROLLGEN-U05-1-FinalRoll-Revision1-ENG-273-WI.pdf" TargetMode="External"/><Relationship Id="rId329" Type="http://schemas.openxmlformats.org/officeDocument/2006/relationships/hyperlink" Target="https://cookiepdf-v2-assests.s3.ap-south-1.amazonaws.com/NCT+OF+Delhi/CENTRAL/2+-+BURARI_324/2025-EROLLGEN-U05-2-FinalRoll-Revision1-ENG-34-WI.pdf" TargetMode="External"/><Relationship Id="rId480" Type="http://schemas.openxmlformats.org/officeDocument/2006/relationships/hyperlink" Target="https://cookiepdf-v2-assests.s3.ap-south-1.amazonaws.com/NCT+OF+Delhi/CENTRAL/2+-+BURARI_324/2025-EROLLGEN-U05-2-FinalRoll-Revision1-ENG-185-WI.pdf" TargetMode="External"/><Relationship Id="rId536" Type="http://schemas.openxmlformats.org/officeDocument/2006/relationships/hyperlink" Target="https://cookiepdf-v2-assests.s3.ap-south-1.amazonaws.com/NCT+OF+Delhi/CENTRAL/2+-+BURARI_324/2025-EROLLGEN-U05-2-FinalRoll-Revision1-ENG-241-WI.pdf" TargetMode="External"/><Relationship Id="rId701" Type="http://schemas.openxmlformats.org/officeDocument/2006/relationships/hyperlink" Target="https://cookiepdf-v2-assests.s3.ap-south-1.amazonaws.com/NCT+OF+Delhi/CENTRAL/3+-+TIMARPUR_178/2025-EROLLGEN-U05-3-FinalRoll-Revision1-ENG-98-WI.pdf" TargetMode="External"/><Relationship Id="rId68" Type="http://schemas.openxmlformats.org/officeDocument/2006/relationships/hyperlink" Target="https://cookiepdf-v2-assests.s3.ap-south-1.amazonaws.com/NCT+OF+Delhi/NORTH/1+-+NERELA_295/2025-EROLLGEN-U05-1-FinalRoll-Revision1-ENG-68-WI.pdf" TargetMode="External"/><Relationship Id="rId133" Type="http://schemas.openxmlformats.org/officeDocument/2006/relationships/hyperlink" Target="https://cookiepdf-v2-assests.s3.ap-south-1.amazonaws.com/NCT+OF+Delhi/NORTH/1+-+NERELA_295/2025-EROLLGEN-U05-1-FinalRoll-Revision1-ENG-133-WI.pdf" TargetMode="External"/><Relationship Id="rId175" Type="http://schemas.openxmlformats.org/officeDocument/2006/relationships/hyperlink" Target="https://cookiepdf-v2-assests.s3.ap-south-1.amazonaws.com/NCT+OF+Delhi/NORTH/1+-+NERELA_295/2025-EROLLGEN-U05-1-FinalRoll-Revision1-ENG-175-WI.pdf" TargetMode="External"/><Relationship Id="rId340" Type="http://schemas.openxmlformats.org/officeDocument/2006/relationships/hyperlink" Target="https://cookiepdf-v2-assests.s3.ap-south-1.amazonaws.com/NCT+OF+Delhi/CENTRAL/2+-+BURARI_324/2025-EROLLGEN-U05-2-FinalRoll-Revision1-ENG-45-WI.pdf" TargetMode="External"/><Relationship Id="rId578" Type="http://schemas.openxmlformats.org/officeDocument/2006/relationships/hyperlink" Target="https://cookiepdf-v2-assests.s3.ap-south-1.amazonaws.com/NCT+OF+Delhi/CENTRAL/2+-+BURARI_324/2025-EROLLGEN-U05-2-FinalRoll-Revision1-ENG-283-WI.pdf" TargetMode="External"/><Relationship Id="rId743" Type="http://schemas.openxmlformats.org/officeDocument/2006/relationships/hyperlink" Target="https://cookiepdf-v2-assests.s3.ap-south-1.amazonaws.com/NCT+OF+Delhi/CENTRAL/3+-+TIMARPUR_178/2025-EROLLGEN-U05-3-FinalRoll-Revision1-ENG-140-WI.pdf" TargetMode="External"/><Relationship Id="rId200" Type="http://schemas.openxmlformats.org/officeDocument/2006/relationships/hyperlink" Target="https://cookiepdf-v2-assests.s3.ap-south-1.amazonaws.com/NCT+OF+Delhi/NORTH/1+-+NERELA_295/2025-EROLLGEN-U05-1-FinalRoll-Revision1-ENG-200-WI.pdf" TargetMode="External"/><Relationship Id="rId382" Type="http://schemas.openxmlformats.org/officeDocument/2006/relationships/hyperlink" Target="https://cookiepdf-v2-assests.s3.ap-south-1.amazonaws.com/NCT+OF+Delhi/CENTRAL/2+-+BURARI_324/2025-EROLLGEN-U05-2-FinalRoll-Revision1-ENG-87-WI.pdf" TargetMode="External"/><Relationship Id="rId438" Type="http://schemas.openxmlformats.org/officeDocument/2006/relationships/hyperlink" Target="https://cookiepdf-v2-assests.s3.ap-south-1.amazonaws.com/NCT+OF+Delhi/CENTRAL/2+-+BURARI_324/2025-EROLLGEN-U05-2-FinalRoll-Revision1-ENG-143-WI.pdf" TargetMode="External"/><Relationship Id="rId603" Type="http://schemas.openxmlformats.org/officeDocument/2006/relationships/hyperlink" Target="https://cookiepdf-v2-assests.s3.ap-south-1.amazonaws.com/NCT+OF+Delhi/CENTRAL/2+-+BURARI_324/2025-EROLLGEN-U05-2-FinalRoll-Revision1-ENG-308-WI.pdf" TargetMode="External"/><Relationship Id="rId645" Type="http://schemas.openxmlformats.org/officeDocument/2006/relationships/hyperlink" Target="https://cookiepdf-v2-assests.s3.ap-south-1.amazonaws.com/NCT+OF+Delhi/CENTRAL/3+-+TIMARPUR_178/2025-EROLLGEN-U05-3-FinalRoll-Revision1-ENG-42-WI.pdf" TargetMode="External"/><Relationship Id="rId687" Type="http://schemas.openxmlformats.org/officeDocument/2006/relationships/hyperlink" Target="https://cookiepdf-v2-assests.s3.ap-south-1.amazonaws.com/NCT+OF+Delhi/CENTRAL/3+-+TIMARPUR_178/2025-EROLLGEN-U05-3-FinalRoll-Revision1-ENG-84-WI.pdf" TargetMode="External"/><Relationship Id="rId242" Type="http://schemas.openxmlformats.org/officeDocument/2006/relationships/hyperlink" Target="https://cookiepdf-v2-assests.s3.ap-south-1.amazonaws.com/NCT+OF+Delhi/NORTH/1+-+NERELA_295/2025-EROLLGEN-U05-1-FinalRoll-Revision1-ENG-242-WI.pdf" TargetMode="External"/><Relationship Id="rId284" Type="http://schemas.openxmlformats.org/officeDocument/2006/relationships/hyperlink" Target="https://cookiepdf-v2-assests.s3.ap-south-1.amazonaws.com/NCT+OF+Delhi/NORTH/1+-+NERELA_295/2025-EROLLGEN-U05-1-FinalRoll-Revision1-ENG-284-WI.pdf" TargetMode="External"/><Relationship Id="rId491" Type="http://schemas.openxmlformats.org/officeDocument/2006/relationships/hyperlink" Target="https://cookiepdf-v2-assests.s3.ap-south-1.amazonaws.com/NCT+OF+Delhi/CENTRAL/2+-+BURARI_324/2025-EROLLGEN-U05-2-FinalRoll-Revision1-ENG-196-WI.pdf" TargetMode="External"/><Relationship Id="rId505" Type="http://schemas.openxmlformats.org/officeDocument/2006/relationships/hyperlink" Target="https://cookiepdf-v2-assests.s3.ap-south-1.amazonaws.com/NCT+OF+Delhi/CENTRAL/2+-+BURARI_324/2025-EROLLGEN-U05-2-FinalRoll-Revision1-ENG-210-WI.pdf" TargetMode="External"/><Relationship Id="rId712" Type="http://schemas.openxmlformats.org/officeDocument/2006/relationships/hyperlink" Target="https://cookiepdf-v2-assests.s3.ap-south-1.amazonaws.com/NCT+OF+Delhi/CENTRAL/3+-+TIMARPUR_178/2025-EROLLGEN-U05-3-FinalRoll-Revision1-ENG-109-WI.pdf" TargetMode="External"/><Relationship Id="rId37" Type="http://schemas.openxmlformats.org/officeDocument/2006/relationships/hyperlink" Target="https://cookiepdf-v2-assests.s3.ap-south-1.amazonaws.com/NCT+OF+Delhi/NORTH/1+-+NERELA_295/2025-EROLLGEN-U05-1-FinalRoll-Revision1-ENG-37-WI.pdf" TargetMode="External"/><Relationship Id="rId79" Type="http://schemas.openxmlformats.org/officeDocument/2006/relationships/hyperlink" Target="https://cookiepdf-v2-assests.s3.ap-south-1.amazonaws.com/NCT+OF+Delhi/NORTH/1+-+NERELA_295/2025-EROLLGEN-U05-1-FinalRoll-Revision1-ENG-79-WI.pdf" TargetMode="External"/><Relationship Id="rId102" Type="http://schemas.openxmlformats.org/officeDocument/2006/relationships/hyperlink" Target="https://cookiepdf-v2-assests.s3.ap-south-1.amazonaws.com/NCT+OF+Delhi/NORTH/1+-+NERELA_295/2025-EROLLGEN-U05-1-FinalRoll-Revision1-ENG-102-WI.pdf" TargetMode="External"/><Relationship Id="rId144" Type="http://schemas.openxmlformats.org/officeDocument/2006/relationships/hyperlink" Target="https://cookiepdf-v2-assests.s3.ap-south-1.amazonaws.com/NCT+OF+Delhi/NORTH/1+-+NERELA_295/2025-EROLLGEN-U05-1-FinalRoll-Revision1-ENG-144-WI.pdf" TargetMode="External"/><Relationship Id="rId547" Type="http://schemas.openxmlformats.org/officeDocument/2006/relationships/hyperlink" Target="https://cookiepdf-v2-assests.s3.ap-south-1.amazonaws.com/NCT+OF+Delhi/CENTRAL/2+-+BURARI_324/2025-EROLLGEN-U05-2-FinalRoll-Revision1-ENG-252-WI.pdf" TargetMode="External"/><Relationship Id="rId589" Type="http://schemas.openxmlformats.org/officeDocument/2006/relationships/hyperlink" Target="https://cookiepdf-v2-assests.s3.ap-south-1.amazonaws.com/NCT+OF+Delhi/CENTRAL/2+-+BURARI_324/2025-EROLLGEN-U05-2-FinalRoll-Revision1-ENG-294-WI.pdf" TargetMode="External"/><Relationship Id="rId754" Type="http://schemas.openxmlformats.org/officeDocument/2006/relationships/hyperlink" Target="https://cookiepdf-v2-assests.s3.ap-south-1.amazonaws.com/NCT+OF+Delhi/CENTRAL/3+-+TIMARPUR_178/2025-EROLLGEN-U05-3-FinalRoll-Revision1-ENG-151-WI.pdf" TargetMode="External"/><Relationship Id="rId90" Type="http://schemas.openxmlformats.org/officeDocument/2006/relationships/hyperlink" Target="https://cookiepdf-v2-assests.s3.ap-south-1.amazonaws.com/NCT+OF+Delhi/NORTH/1+-+NERELA_295/2025-EROLLGEN-U05-1-FinalRoll-Revision1-ENG-90-WI.pdf" TargetMode="External"/><Relationship Id="rId186" Type="http://schemas.openxmlformats.org/officeDocument/2006/relationships/hyperlink" Target="https://cookiepdf-v2-assests.s3.ap-south-1.amazonaws.com/NCT+OF+Delhi/NORTH/1+-+NERELA_295/2025-EROLLGEN-U05-1-FinalRoll-Revision1-ENG-186-WI.pdf" TargetMode="External"/><Relationship Id="rId351" Type="http://schemas.openxmlformats.org/officeDocument/2006/relationships/hyperlink" Target="https://cookiepdf-v2-assests.s3.ap-south-1.amazonaws.com/NCT+OF+Delhi/CENTRAL/2+-+BURARI_324/2025-EROLLGEN-U05-2-FinalRoll-Revision1-ENG-56-WI.pdf" TargetMode="External"/><Relationship Id="rId393" Type="http://schemas.openxmlformats.org/officeDocument/2006/relationships/hyperlink" Target="https://cookiepdf-v2-assests.s3.ap-south-1.amazonaws.com/NCT+OF+Delhi/CENTRAL/2+-+BURARI_324/2025-EROLLGEN-U05-2-FinalRoll-Revision1-ENG-98-WI.pdf" TargetMode="External"/><Relationship Id="rId407" Type="http://schemas.openxmlformats.org/officeDocument/2006/relationships/hyperlink" Target="https://cookiepdf-v2-assests.s3.ap-south-1.amazonaws.com/NCT+OF+Delhi/CENTRAL/2+-+BURARI_324/2025-EROLLGEN-U05-2-FinalRoll-Revision1-ENG-112-WI.pdf" TargetMode="External"/><Relationship Id="rId449" Type="http://schemas.openxmlformats.org/officeDocument/2006/relationships/hyperlink" Target="https://cookiepdf-v2-assests.s3.ap-south-1.amazonaws.com/NCT+OF+Delhi/CENTRAL/2+-+BURARI_324/2025-EROLLGEN-U05-2-FinalRoll-Revision1-ENG-154-WI.pdf" TargetMode="External"/><Relationship Id="rId614" Type="http://schemas.openxmlformats.org/officeDocument/2006/relationships/hyperlink" Target="https://cookiepdf-v2-assests.s3.ap-south-1.amazonaws.com/NCT+OF+Delhi/CENTRAL/3+-+TIMARPUR_178/2025-EROLLGEN-U05-3-FinalRoll-Revision1-ENG-11-WI.pdf" TargetMode="External"/><Relationship Id="rId656" Type="http://schemas.openxmlformats.org/officeDocument/2006/relationships/hyperlink" Target="https://cookiepdf-v2-assests.s3.ap-south-1.amazonaws.com/NCT+OF+Delhi/CENTRAL/3+-+TIMARPUR_178/2025-EROLLGEN-U05-3-FinalRoll-Revision1-ENG-53-WI.pdf" TargetMode="External"/><Relationship Id="rId211" Type="http://schemas.openxmlformats.org/officeDocument/2006/relationships/hyperlink" Target="https://cookiepdf-v2-assests.s3.ap-south-1.amazonaws.com/NCT+OF+Delhi/NORTH/1+-+NERELA_295/2025-EROLLGEN-U05-1-FinalRoll-Revision1-ENG-211-WI.pdf" TargetMode="External"/><Relationship Id="rId253" Type="http://schemas.openxmlformats.org/officeDocument/2006/relationships/hyperlink" Target="https://cookiepdf-v2-assests.s3.ap-south-1.amazonaws.com/NCT+OF+Delhi/NORTH/1+-+NERELA_295/2025-EROLLGEN-U05-1-FinalRoll-Revision1-ENG-253-WI.pdf" TargetMode="External"/><Relationship Id="rId295" Type="http://schemas.openxmlformats.org/officeDocument/2006/relationships/hyperlink" Target="https://cookiepdf-v2-assests.s3.ap-south-1.amazonaws.com/NCT+OF+Delhi/NORTH/1+-+NERELA_295/2025-EROLLGEN-U05-1-FinalRoll-Revision1-ENG-295-WI.pdf" TargetMode="External"/><Relationship Id="rId309" Type="http://schemas.openxmlformats.org/officeDocument/2006/relationships/hyperlink" Target="https://cookiepdf-v2-assests.s3.ap-south-1.amazonaws.com/NCT+OF+Delhi/CENTRAL/2+-+BURARI_324/2025-EROLLGEN-U05-2-FinalRoll-Revision1-ENG-14-WI.pdf" TargetMode="External"/><Relationship Id="rId460" Type="http://schemas.openxmlformats.org/officeDocument/2006/relationships/hyperlink" Target="https://cookiepdf-v2-assests.s3.ap-south-1.amazonaws.com/NCT+OF+Delhi/CENTRAL/2+-+BURARI_324/2025-EROLLGEN-U05-2-FinalRoll-Revision1-ENG-165-WI.pdf" TargetMode="External"/><Relationship Id="rId516" Type="http://schemas.openxmlformats.org/officeDocument/2006/relationships/hyperlink" Target="https://cookiepdf-v2-assests.s3.ap-south-1.amazonaws.com/NCT+OF+Delhi/CENTRAL/2+-+BURARI_324/2025-EROLLGEN-U05-2-FinalRoll-Revision1-ENG-221-WI.pdf" TargetMode="External"/><Relationship Id="rId698" Type="http://schemas.openxmlformats.org/officeDocument/2006/relationships/hyperlink" Target="https://cookiepdf-v2-assests.s3.ap-south-1.amazonaws.com/NCT+OF+Delhi/CENTRAL/3+-+TIMARPUR_178/2025-EROLLGEN-U05-3-FinalRoll-Revision1-ENG-95-WI.pdf" TargetMode="External"/><Relationship Id="rId48" Type="http://schemas.openxmlformats.org/officeDocument/2006/relationships/hyperlink" Target="https://cookiepdf-v2-assests.s3.ap-south-1.amazonaws.com/NCT+OF+Delhi/NORTH/1+-+NERELA_295/2025-EROLLGEN-U05-1-FinalRoll-Revision1-ENG-48-WI.pdf" TargetMode="External"/><Relationship Id="rId113" Type="http://schemas.openxmlformats.org/officeDocument/2006/relationships/hyperlink" Target="https://cookiepdf-v2-assests.s3.ap-south-1.amazonaws.com/NCT+OF+Delhi/NORTH/1+-+NERELA_295/2025-EROLLGEN-U05-1-FinalRoll-Revision1-ENG-113-WI.pdf" TargetMode="External"/><Relationship Id="rId320" Type="http://schemas.openxmlformats.org/officeDocument/2006/relationships/hyperlink" Target="https://cookiepdf-v2-assests.s3.ap-south-1.amazonaws.com/NCT+OF+Delhi/CENTRAL/2+-+BURARI_324/2025-EROLLGEN-U05-2-FinalRoll-Revision1-ENG-25-WI.pdf" TargetMode="External"/><Relationship Id="rId558" Type="http://schemas.openxmlformats.org/officeDocument/2006/relationships/hyperlink" Target="https://cookiepdf-v2-assests.s3.ap-south-1.amazonaws.com/NCT+OF+Delhi/CENTRAL/2+-+BURARI_324/2025-EROLLGEN-U05-2-FinalRoll-Revision1-ENG-263-WI.pdf" TargetMode="External"/><Relationship Id="rId723" Type="http://schemas.openxmlformats.org/officeDocument/2006/relationships/hyperlink" Target="https://cookiepdf-v2-assests.s3.ap-south-1.amazonaws.com/NCT+OF+Delhi/CENTRAL/3+-+TIMARPUR_178/2025-EROLLGEN-U05-3-FinalRoll-Revision1-ENG-120-WI.pdf" TargetMode="External"/><Relationship Id="rId765" Type="http://schemas.openxmlformats.org/officeDocument/2006/relationships/hyperlink" Target="https://cookiepdf-v2-assests.s3.ap-south-1.amazonaws.com/NCT+OF+Delhi/CENTRAL/3+-+TIMARPUR_178/2025-EROLLGEN-U05-3-FinalRoll-Revision1-ENG-162-WI.pdf" TargetMode="External"/><Relationship Id="rId155" Type="http://schemas.openxmlformats.org/officeDocument/2006/relationships/hyperlink" Target="https://cookiepdf-v2-assests.s3.ap-south-1.amazonaws.com/NCT+OF+Delhi/NORTH/1+-+NERELA_295/2025-EROLLGEN-U05-1-FinalRoll-Revision1-ENG-155-WI.pdf" TargetMode="External"/><Relationship Id="rId197" Type="http://schemas.openxmlformats.org/officeDocument/2006/relationships/hyperlink" Target="https://cookiepdf-v2-assests.s3.ap-south-1.amazonaws.com/NCT+OF+Delhi/NORTH/1+-+NERELA_295/2025-EROLLGEN-U05-1-FinalRoll-Revision1-ENG-197-WI.pdf" TargetMode="External"/><Relationship Id="rId362" Type="http://schemas.openxmlformats.org/officeDocument/2006/relationships/hyperlink" Target="https://cookiepdf-v2-assests.s3.ap-south-1.amazonaws.com/NCT+OF+Delhi/CENTRAL/2+-+BURARI_324/2025-EROLLGEN-U05-2-FinalRoll-Revision1-ENG-67-WI.pdf" TargetMode="External"/><Relationship Id="rId418" Type="http://schemas.openxmlformats.org/officeDocument/2006/relationships/hyperlink" Target="https://cookiepdf-v2-assests.s3.ap-south-1.amazonaws.com/NCT+OF+Delhi/CENTRAL/2+-+BURARI_324/2025-EROLLGEN-U05-2-FinalRoll-Revision1-ENG-123-WI.pdf" TargetMode="External"/><Relationship Id="rId625" Type="http://schemas.openxmlformats.org/officeDocument/2006/relationships/hyperlink" Target="https://cookiepdf-v2-assests.s3.ap-south-1.amazonaws.com/NCT+OF+Delhi/CENTRAL/3+-+TIMARPUR_178/2025-EROLLGEN-U05-3-FinalRoll-Revision1-ENG-22-WI.pdf" TargetMode="External"/><Relationship Id="rId222" Type="http://schemas.openxmlformats.org/officeDocument/2006/relationships/hyperlink" Target="https://cookiepdf-v2-assests.s3.ap-south-1.amazonaws.com/NCT+OF+Delhi/NORTH/1+-+NERELA_295/2025-EROLLGEN-U05-1-FinalRoll-Revision1-ENG-222-WI.pdf" TargetMode="External"/><Relationship Id="rId264" Type="http://schemas.openxmlformats.org/officeDocument/2006/relationships/hyperlink" Target="https://cookiepdf-v2-assests.s3.ap-south-1.amazonaws.com/NCT+OF+Delhi/NORTH/1+-+NERELA_295/2025-EROLLGEN-U05-1-FinalRoll-Revision1-ENG-264-WI.pdf" TargetMode="External"/><Relationship Id="rId471" Type="http://schemas.openxmlformats.org/officeDocument/2006/relationships/hyperlink" Target="https://cookiepdf-v2-assests.s3.ap-south-1.amazonaws.com/NCT+OF+Delhi/CENTRAL/2+-+BURARI_324/2025-EROLLGEN-U05-2-FinalRoll-Revision1-ENG-176-WI.pdf" TargetMode="External"/><Relationship Id="rId667" Type="http://schemas.openxmlformats.org/officeDocument/2006/relationships/hyperlink" Target="https://cookiepdf-v2-assests.s3.ap-south-1.amazonaws.com/NCT+OF+Delhi/CENTRAL/3+-+TIMARPUR_178/2025-EROLLGEN-U05-3-FinalRoll-Revision1-ENG-64-WI.pdf" TargetMode="External"/><Relationship Id="rId17" Type="http://schemas.openxmlformats.org/officeDocument/2006/relationships/hyperlink" Target="https://cookiepdf-v2-assests.s3.ap-south-1.amazonaws.com/NCT+OF+Delhi/NORTH/1+-+NERELA_295/2025-EROLLGEN-U05-1-FinalRoll-Revision1-ENG-17-WI.pdf" TargetMode="External"/><Relationship Id="rId59" Type="http://schemas.openxmlformats.org/officeDocument/2006/relationships/hyperlink" Target="https://cookiepdf-v2-assests.s3.ap-south-1.amazonaws.com/NCT+OF+Delhi/NORTH/1+-+NERELA_295/2025-EROLLGEN-U05-1-FinalRoll-Revision1-ENG-59-WI.pdf" TargetMode="External"/><Relationship Id="rId124" Type="http://schemas.openxmlformats.org/officeDocument/2006/relationships/hyperlink" Target="https://cookiepdf-v2-assests.s3.ap-south-1.amazonaws.com/NCT+OF+Delhi/NORTH/1+-+NERELA_295/2025-EROLLGEN-U05-1-FinalRoll-Revision1-ENG-124-WI.pdf" TargetMode="External"/><Relationship Id="rId527" Type="http://schemas.openxmlformats.org/officeDocument/2006/relationships/hyperlink" Target="https://cookiepdf-v2-assests.s3.ap-south-1.amazonaws.com/NCT+OF+Delhi/CENTRAL/2+-+BURARI_324/2025-EROLLGEN-U05-2-FinalRoll-Revision1-ENG-232-WI.pdf" TargetMode="External"/><Relationship Id="rId569" Type="http://schemas.openxmlformats.org/officeDocument/2006/relationships/hyperlink" Target="https://cookiepdf-v2-assests.s3.ap-south-1.amazonaws.com/NCT+OF+Delhi/CENTRAL/2+-+BURARI_324/2025-EROLLGEN-U05-2-FinalRoll-Revision1-ENG-274-WI.pdf" TargetMode="External"/><Relationship Id="rId734" Type="http://schemas.openxmlformats.org/officeDocument/2006/relationships/hyperlink" Target="https://cookiepdf-v2-assests.s3.ap-south-1.amazonaws.com/NCT+OF+Delhi/CENTRAL/3+-+TIMARPUR_178/2025-EROLLGEN-U05-3-FinalRoll-Revision1-ENG-131-WI.pdf" TargetMode="External"/><Relationship Id="rId776" Type="http://schemas.openxmlformats.org/officeDocument/2006/relationships/hyperlink" Target="https://cookiepdf-v2-assests.s3.ap-south-1.amazonaws.com/NCT+OF+Delhi/CENTRAL/3+-+TIMARPUR_178/2025-EROLLGEN-U05-3-FinalRoll-Revision1-ENG-173-WI.pdf" TargetMode="External"/><Relationship Id="rId70" Type="http://schemas.openxmlformats.org/officeDocument/2006/relationships/hyperlink" Target="https://cookiepdf-v2-assests.s3.ap-south-1.amazonaws.com/NCT+OF+Delhi/NORTH/1+-+NERELA_295/2025-EROLLGEN-U05-1-FinalRoll-Revision1-ENG-70-WI.pdf" TargetMode="External"/><Relationship Id="rId166" Type="http://schemas.openxmlformats.org/officeDocument/2006/relationships/hyperlink" Target="https://cookiepdf-v2-assests.s3.ap-south-1.amazonaws.com/NCT+OF+Delhi/NORTH/1+-+NERELA_295/2025-EROLLGEN-U05-1-FinalRoll-Revision1-ENG-166-WI.pdf" TargetMode="External"/><Relationship Id="rId331" Type="http://schemas.openxmlformats.org/officeDocument/2006/relationships/hyperlink" Target="https://cookiepdf-v2-assests.s3.ap-south-1.amazonaws.com/NCT+OF+Delhi/CENTRAL/2+-+BURARI_324/2025-EROLLGEN-U05-2-FinalRoll-Revision1-ENG-36-WI.pdf" TargetMode="External"/><Relationship Id="rId373" Type="http://schemas.openxmlformats.org/officeDocument/2006/relationships/hyperlink" Target="https://cookiepdf-v2-assests.s3.ap-south-1.amazonaws.com/NCT+OF+Delhi/CENTRAL/2+-+BURARI_324/2025-EROLLGEN-U05-2-FinalRoll-Revision1-ENG-78-WI.pdf" TargetMode="External"/><Relationship Id="rId429" Type="http://schemas.openxmlformats.org/officeDocument/2006/relationships/hyperlink" Target="https://cookiepdf-v2-assests.s3.ap-south-1.amazonaws.com/NCT+OF+Delhi/CENTRAL/2+-+BURARI_324/2025-EROLLGEN-U05-2-FinalRoll-Revision1-ENG-134-WI.pdf" TargetMode="External"/><Relationship Id="rId580" Type="http://schemas.openxmlformats.org/officeDocument/2006/relationships/hyperlink" Target="https://cookiepdf-v2-assests.s3.ap-south-1.amazonaws.com/NCT+OF+Delhi/CENTRAL/2+-+BURARI_324/2025-EROLLGEN-U05-2-FinalRoll-Revision1-ENG-285-WI.pdf" TargetMode="External"/><Relationship Id="rId636" Type="http://schemas.openxmlformats.org/officeDocument/2006/relationships/hyperlink" Target="https://cookiepdf-v2-assests.s3.ap-south-1.amazonaws.com/NCT+OF+Delhi/CENTRAL/3+-+TIMARPUR_178/2025-EROLLGEN-U05-3-FinalRoll-Revision1-ENG-33-WI.pdf" TargetMode="External"/><Relationship Id="rId1" Type="http://schemas.openxmlformats.org/officeDocument/2006/relationships/hyperlink" Target="https://cookiepdf-v2-assests.s3.ap-south-1.amazonaws.com/NCT+OF+Delhi/NORTH/1+-+NERELA_295/2025-EROLLGEN-U05-1-FinalRoll-Revision1-ENG-1-WI.pdf" TargetMode="External"/><Relationship Id="rId233" Type="http://schemas.openxmlformats.org/officeDocument/2006/relationships/hyperlink" Target="https://cookiepdf-v2-assests.s3.ap-south-1.amazonaws.com/NCT+OF+Delhi/NORTH/1+-+NERELA_295/2025-EROLLGEN-U05-1-FinalRoll-Revision1-ENG-233-WI.pdf" TargetMode="External"/><Relationship Id="rId440" Type="http://schemas.openxmlformats.org/officeDocument/2006/relationships/hyperlink" Target="https://cookiepdf-v2-assests.s3.ap-south-1.amazonaws.com/NCT+OF+Delhi/CENTRAL/2+-+BURARI_324/2025-EROLLGEN-U05-2-FinalRoll-Revision1-ENG-145-WI.pdf" TargetMode="External"/><Relationship Id="rId678" Type="http://schemas.openxmlformats.org/officeDocument/2006/relationships/hyperlink" Target="https://cookiepdf-v2-assests.s3.ap-south-1.amazonaws.com/NCT+OF+Delhi/CENTRAL/3+-+TIMARPUR_178/2025-EROLLGEN-U05-3-FinalRoll-Revision1-ENG-75-WI.pdf" TargetMode="External"/><Relationship Id="rId28" Type="http://schemas.openxmlformats.org/officeDocument/2006/relationships/hyperlink" Target="https://cookiepdf-v2-assests.s3.ap-south-1.amazonaws.com/NCT+OF+Delhi/NORTH/1+-+NERELA_295/2025-EROLLGEN-U05-1-FinalRoll-Revision1-ENG-28-WI.pdf" TargetMode="External"/><Relationship Id="rId275" Type="http://schemas.openxmlformats.org/officeDocument/2006/relationships/hyperlink" Target="https://cookiepdf-v2-assests.s3.ap-south-1.amazonaws.com/NCT+OF+Delhi/NORTH/1+-+NERELA_295/2025-EROLLGEN-U05-1-FinalRoll-Revision1-ENG-275-WI.pdf" TargetMode="External"/><Relationship Id="rId300" Type="http://schemas.openxmlformats.org/officeDocument/2006/relationships/hyperlink" Target="https://cookiepdf-v2-assests.s3.ap-south-1.amazonaws.com/NCT+OF+Delhi/CENTRAL/2+-+BURARI_324/2025-EROLLGEN-U05-2-FinalRoll-Revision1-ENG-5-WI.pdf" TargetMode="External"/><Relationship Id="rId482" Type="http://schemas.openxmlformats.org/officeDocument/2006/relationships/hyperlink" Target="https://cookiepdf-v2-assests.s3.ap-south-1.amazonaws.com/NCT+OF+Delhi/CENTRAL/2+-+BURARI_324/2025-EROLLGEN-U05-2-FinalRoll-Revision1-ENG-187-WI.pdf" TargetMode="External"/><Relationship Id="rId538" Type="http://schemas.openxmlformats.org/officeDocument/2006/relationships/hyperlink" Target="https://cookiepdf-v2-assests.s3.ap-south-1.amazonaws.com/NCT+OF+Delhi/CENTRAL/2+-+BURARI_324/2025-EROLLGEN-U05-2-FinalRoll-Revision1-ENG-243-WI.pdf" TargetMode="External"/><Relationship Id="rId703" Type="http://schemas.openxmlformats.org/officeDocument/2006/relationships/hyperlink" Target="https://cookiepdf-v2-assests.s3.ap-south-1.amazonaws.com/NCT+OF+Delhi/CENTRAL/3+-+TIMARPUR_178/2025-EROLLGEN-U05-3-FinalRoll-Revision1-ENG-100-WI.pdf" TargetMode="External"/><Relationship Id="rId745" Type="http://schemas.openxmlformats.org/officeDocument/2006/relationships/hyperlink" Target="https://cookiepdf-v2-assests.s3.ap-south-1.amazonaws.com/NCT+OF+Delhi/CENTRAL/3+-+TIMARPUR_178/2025-EROLLGEN-U05-3-FinalRoll-Revision1-ENG-142-WI.pdf" TargetMode="External"/><Relationship Id="rId81" Type="http://schemas.openxmlformats.org/officeDocument/2006/relationships/hyperlink" Target="https://cookiepdf-v2-assests.s3.ap-south-1.amazonaws.com/NCT+OF+Delhi/NORTH/1+-+NERELA_295/2025-EROLLGEN-U05-1-FinalRoll-Revision1-ENG-81-WI.pdf" TargetMode="External"/><Relationship Id="rId135" Type="http://schemas.openxmlformats.org/officeDocument/2006/relationships/hyperlink" Target="https://cookiepdf-v2-assests.s3.ap-south-1.amazonaws.com/NCT+OF+Delhi/NORTH/1+-+NERELA_295/2025-EROLLGEN-U05-1-FinalRoll-Revision1-ENG-135-WI.pdf" TargetMode="External"/><Relationship Id="rId177" Type="http://schemas.openxmlformats.org/officeDocument/2006/relationships/hyperlink" Target="https://cookiepdf-v2-assests.s3.ap-south-1.amazonaws.com/NCT+OF+Delhi/NORTH/1+-+NERELA_295/2025-EROLLGEN-U05-1-FinalRoll-Revision1-ENG-177-WI.pdf" TargetMode="External"/><Relationship Id="rId342" Type="http://schemas.openxmlformats.org/officeDocument/2006/relationships/hyperlink" Target="https://cookiepdf-v2-assests.s3.ap-south-1.amazonaws.com/NCT+OF+Delhi/CENTRAL/2+-+BURARI_324/2025-EROLLGEN-U05-2-FinalRoll-Revision1-ENG-47-WI.pdf" TargetMode="External"/><Relationship Id="rId384" Type="http://schemas.openxmlformats.org/officeDocument/2006/relationships/hyperlink" Target="https://cookiepdf-v2-assests.s3.ap-south-1.amazonaws.com/NCT+OF+Delhi/CENTRAL/2+-+BURARI_324/2025-EROLLGEN-U05-2-FinalRoll-Revision1-ENG-89-WI.pdf" TargetMode="External"/><Relationship Id="rId591" Type="http://schemas.openxmlformats.org/officeDocument/2006/relationships/hyperlink" Target="https://cookiepdf-v2-assests.s3.ap-south-1.amazonaws.com/NCT+OF+Delhi/CENTRAL/2+-+BURARI_324/2025-EROLLGEN-U05-2-FinalRoll-Revision1-ENG-296-WI.pdf" TargetMode="External"/><Relationship Id="rId605" Type="http://schemas.openxmlformats.org/officeDocument/2006/relationships/hyperlink" Target="https://cookiepdf-v2-assests.s3.ap-south-1.amazonaws.com/NCT+OF+Delhi/CENTRAL/3+-+TIMARPUR_178/2025-EROLLGEN-U05-3-FinalRoll-Revision1-ENG-2-WI.pdf" TargetMode="External"/><Relationship Id="rId202" Type="http://schemas.openxmlformats.org/officeDocument/2006/relationships/hyperlink" Target="https://cookiepdf-v2-assests.s3.ap-south-1.amazonaws.com/NCT+OF+Delhi/NORTH/1+-+NERELA_295/2025-EROLLGEN-U05-1-FinalRoll-Revision1-ENG-202-WI.pdf" TargetMode="External"/><Relationship Id="rId244" Type="http://schemas.openxmlformats.org/officeDocument/2006/relationships/hyperlink" Target="https://cookiepdf-v2-assests.s3.ap-south-1.amazonaws.com/NCT+OF+Delhi/NORTH/1+-+NERELA_295/2025-EROLLGEN-U05-1-FinalRoll-Revision1-ENG-244-WI.pdf" TargetMode="External"/><Relationship Id="rId647" Type="http://schemas.openxmlformats.org/officeDocument/2006/relationships/hyperlink" Target="https://cookiepdf-v2-assests.s3.ap-south-1.amazonaws.com/NCT+OF+Delhi/CENTRAL/3+-+TIMARPUR_178/2025-EROLLGEN-U05-3-FinalRoll-Revision1-ENG-44-WI.pdf" TargetMode="External"/><Relationship Id="rId689" Type="http://schemas.openxmlformats.org/officeDocument/2006/relationships/hyperlink" Target="https://cookiepdf-v2-assests.s3.ap-south-1.amazonaws.com/NCT+OF+Delhi/CENTRAL/3+-+TIMARPUR_178/2025-EROLLGEN-U05-3-FinalRoll-Revision1-ENG-86-WI.pdf" TargetMode="External"/><Relationship Id="rId39" Type="http://schemas.openxmlformats.org/officeDocument/2006/relationships/hyperlink" Target="https://cookiepdf-v2-assests.s3.ap-south-1.amazonaws.com/NCT+OF+Delhi/NORTH/1+-+NERELA_295/2025-EROLLGEN-U05-1-FinalRoll-Revision1-ENG-39-WI.pdf" TargetMode="External"/><Relationship Id="rId286" Type="http://schemas.openxmlformats.org/officeDocument/2006/relationships/hyperlink" Target="https://cookiepdf-v2-assests.s3.ap-south-1.amazonaws.com/NCT+OF+Delhi/NORTH/1+-+NERELA_295/2025-EROLLGEN-U05-1-FinalRoll-Revision1-ENG-286-WI.pdf" TargetMode="External"/><Relationship Id="rId451" Type="http://schemas.openxmlformats.org/officeDocument/2006/relationships/hyperlink" Target="https://cookiepdf-v2-assests.s3.ap-south-1.amazonaws.com/NCT+OF+Delhi/CENTRAL/2+-+BURARI_324/2025-EROLLGEN-U05-2-FinalRoll-Revision1-ENG-156-WI.pdf" TargetMode="External"/><Relationship Id="rId493" Type="http://schemas.openxmlformats.org/officeDocument/2006/relationships/hyperlink" Target="https://cookiepdf-v2-assests.s3.ap-south-1.amazonaws.com/NCT+OF+Delhi/CENTRAL/2+-+BURARI_324/2025-EROLLGEN-U05-2-FinalRoll-Revision1-ENG-198-WI.pdf" TargetMode="External"/><Relationship Id="rId507" Type="http://schemas.openxmlformats.org/officeDocument/2006/relationships/hyperlink" Target="https://cookiepdf-v2-assests.s3.ap-south-1.amazonaws.com/NCT+OF+Delhi/CENTRAL/2+-+BURARI_324/2025-EROLLGEN-U05-2-FinalRoll-Revision1-ENG-212-WI.pdf" TargetMode="External"/><Relationship Id="rId549" Type="http://schemas.openxmlformats.org/officeDocument/2006/relationships/hyperlink" Target="https://cookiepdf-v2-assests.s3.ap-south-1.amazonaws.com/NCT+OF+Delhi/CENTRAL/2+-+BURARI_324/2025-EROLLGEN-U05-2-FinalRoll-Revision1-ENG-254-WI.pdf" TargetMode="External"/><Relationship Id="rId714" Type="http://schemas.openxmlformats.org/officeDocument/2006/relationships/hyperlink" Target="https://cookiepdf-v2-assests.s3.ap-south-1.amazonaws.com/NCT+OF+Delhi/CENTRAL/3+-+TIMARPUR_178/2025-EROLLGEN-U05-3-FinalRoll-Revision1-ENG-111-WI.pdf" TargetMode="External"/><Relationship Id="rId756" Type="http://schemas.openxmlformats.org/officeDocument/2006/relationships/hyperlink" Target="https://cookiepdf-v2-assests.s3.ap-south-1.amazonaws.com/NCT+OF+Delhi/CENTRAL/3+-+TIMARPUR_178/2025-EROLLGEN-U05-3-FinalRoll-Revision1-ENG-153-WI.pdf" TargetMode="External"/><Relationship Id="rId50" Type="http://schemas.openxmlformats.org/officeDocument/2006/relationships/hyperlink" Target="https://cookiepdf-v2-assests.s3.ap-south-1.amazonaws.com/NCT+OF+Delhi/NORTH/1+-+NERELA_295/2025-EROLLGEN-U05-1-FinalRoll-Revision1-ENG-50-WI.pdf" TargetMode="External"/><Relationship Id="rId104" Type="http://schemas.openxmlformats.org/officeDocument/2006/relationships/hyperlink" Target="https://cookiepdf-v2-assests.s3.ap-south-1.amazonaws.com/NCT+OF+Delhi/NORTH/1+-+NERELA_295/2025-EROLLGEN-U05-1-FinalRoll-Revision1-ENG-104-WI.pdf" TargetMode="External"/><Relationship Id="rId146" Type="http://schemas.openxmlformats.org/officeDocument/2006/relationships/hyperlink" Target="https://cookiepdf-v2-assests.s3.ap-south-1.amazonaws.com/NCT+OF+Delhi/NORTH/1+-+NERELA_295/2025-EROLLGEN-U05-1-FinalRoll-Revision1-ENG-146-WI.pdf" TargetMode="External"/><Relationship Id="rId188" Type="http://schemas.openxmlformats.org/officeDocument/2006/relationships/hyperlink" Target="https://cookiepdf-v2-assests.s3.ap-south-1.amazonaws.com/NCT+OF+Delhi/NORTH/1+-+NERELA_295/2025-EROLLGEN-U05-1-FinalRoll-Revision1-ENG-188-WI.pdf" TargetMode="External"/><Relationship Id="rId311" Type="http://schemas.openxmlformats.org/officeDocument/2006/relationships/hyperlink" Target="https://cookiepdf-v2-assests.s3.ap-south-1.amazonaws.com/NCT+OF+Delhi/CENTRAL/2+-+BURARI_324/2025-EROLLGEN-U05-2-FinalRoll-Revision1-ENG-16-WI.pdf" TargetMode="External"/><Relationship Id="rId353" Type="http://schemas.openxmlformats.org/officeDocument/2006/relationships/hyperlink" Target="https://cookiepdf-v2-assests.s3.ap-south-1.amazonaws.com/NCT+OF+Delhi/CENTRAL/2+-+BURARI_324/2025-EROLLGEN-U05-2-FinalRoll-Revision1-ENG-58-WI.pdf" TargetMode="External"/><Relationship Id="rId395" Type="http://schemas.openxmlformats.org/officeDocument/2006/relationships/hyperlink" Target="https://cookiepdf-v2-assests.s3.ap-south-1.amazonaws.com/NCT+OF+Delhi/CENTRAL/2+-+BURARI_324/2025-EROLLGEN-U05-2-FinalRoll-Revision1-ENG-100-WI.pdf" TargetMode="External"/><Relationship Id="rId409" Type="http://schemas.openxmlformats.org/officeDocument/2006/relationships/hyperlink" Target="https://cookiepdf-v2-assests.s3.ap-south-1.amazonaws.com/NCT+OF+Delhi/CENTRAL/2+-+BURARI_324/2025-EROLLGEN-U05-2-FinalRoll-Revision1-ENG-114-WI.pdf" TargetMode="External"/><Relationship Id="rId560" Type="http://schemas.openxmlformats.org/officeDocument/2006/relationships/hyperlink" Target="https://cookiepdf-v2-assests.s3.ap-south-1.amazonaws.com/NCT+OF+Delhi/CENTRAL/2+-+BURARI_324/2025-EROLLGEN-U05-2-FinalRoll-Revision1-ENG-265-WI.pdf" TargetMode="External"/><Relationship Id="rId92" Type="http://schemas.openxmlformats.org/officeDocument/2006/relationships/hyperlink" Target="https://cookiepdf-v2-assests.s3.ap-south-1.amazonaws.com/NCT+OF+Delhi/NORTH/1+-+NERELA_295/2025-EROLLGEN-U05-1-FinalRoll-Revision1-ENG-92-WI.pdf" TargetMode="External"/><Relationship Id="rId213" Type="http://schemas.openxmlformats.org/officeDocument/2006/relationships/hyperlink" Target="https://cookiepdf-v2-assests.s3.ap-south-1.amazonaws.com/NCT+OF+Delhi/NORTH/1+-+NERELA_295/2025-EROLLGEN-U05-1-FinalRoll-Revision1-ENG-213-WI.pdf" TargetMode="External"/><Relationship Id="rId420" Type="http://schemas.openxmlformats.org/officeDocument/2006/relationships/hyperlink" Target="https://cookiepdf-v2-assests.s3.ap-south-1.amazonaws.com/NCT+OF+Delhi/CENTRAL/2+-+BURARI_324/2025-EROLLGEN-U05-2-FinalRoll-Revision1-ENG-125-WI.pdf" TargetMode="External"/><Relationship Id="rId616" Type="http://schemas.openxmlformats.org/officeDocument/2006/relationships/hyperlink" Target="https://cookiepdf-v2-assests.s3.ap-south-1.amazonaws.com/NCT+OF+Delhi/CENTRAL/3+-+TIMARPUR_178/2025-EROLLGEN-U05-3-FinalRoll-Revision1-ENG-13-WI.pdf" TargetMode="External"/><Relationship Id="rId658" Type="http://schemas.openxmlformats.org/officeDocument/2006/relationships/hyperlink" Target="https://cookiepdf-v2-assests.s3.ap-south-1.amazonaws.com/NCT+OF+Delhi/CENTRAL/3+-+TIMARPUR_178/2025-EROLLGEN-U05-3-FinalRoll-Revision1-ENG-55-WI.pdf" TargetMode="External"/><Relationship Id="rId255" Type="http://schemas.openxmlformats.org/officeDocument/2006/relationships/hyperlink" Target="https://cookiepdf-v2-assests.s3.ap-south-1.amazonaws.com/NCT+OF+Delhi/NORTH/1+-+NERELA_295/2025-EROLLGEN-U05-1-FinalRoll-Revision1-ENG-255-WI.pdf" TargetMode="External"/><Relationship Id="rId297" Type="http://schemas.openxmlformats.org/officeDocument/2006/relationships/hyperlink" Target="https://cookiepdf-v2-assests.s3.ap-south-1.amazonaws.com/NCT+OF+Delhi/CENTRAL/2+-+BURARI_324/2025-EROLLGEN-U05-2-FinalRoll-Revision1-ENG-2-WI.pdf" TargetMode="External"/><Relationship Id="rId462" Type="http://schemas.openxmlformats.org/officeDocument/2006/relationships/hyperlink" Target="https://cookiepdf-v2-assests.s3.ap-south-1.amazonaws.com/NCT+OF+Delhi/CENTRAL/2+-+BURARI_324/2025-EROLLGEN-U05-2-FinalRoll-Revision1-ENG-167-WI.pdf" TargetMode="External"/><Relationship Id="rId518" Type="http://schemas.openxmlformats.org/officeDocument/2006/relationships/hyperlink" Target="https://cookiepdf-v2-assests.s3.ap-south-1.amazonaws.com/NCT+OF+Delhi/CENTRAL/2+-+BURARI_324/2025-EROLLGEN-U05-2-FinalRoll-Revision1-ENG-223-WI.pdf" TargetMode="External"/><Relationship Id="rId725" Type="http://schemas.openxmlformats.org/officeDocument/2006/relationships/hyperlink" Target="https://cookiepdf-v2-assests.s3.ap-south-1.amazonaws.com/NCT+OF+Delhi/CENTRAL/3+-+TIMARPUR_178/2025-EROLLGEN-U05-3-FinalRoll-Revision1-ENG-122-WI.pdf" TargetMode="External"/><Relationship Id="rId115" Type="http://schemas.openxmlformats.org/officeDocument/2006/relationships/hyperlink" Target="https://cookiepdf-v2-assests.s3.ap-south-1.amazonaws.com/NCT+OF+Delhi/NORTH/1+-+NERELA_295/2025-EROLLGEN-U05-1-FinalRoll-Revision1-ENG-115-WI.pdf" TargetMode="External"/><Relationship Id="rId157" Type="http://schemas.openxmlformats.org/officeDocument/2006/relationships/hyperlink" Target="https://cookiepdf-v2-assests.s3.ap-south-1.amazonaws.com/NCT+OF+Delhi/NORTH/1+-+NERELA_295/2025-EROLLGEN-U05-1-FinalRoll-Revision1-ENG-157-WI.pdf" TargetMode="External"/><Relationship Id="rId322" Type="http://schemas.openxmlformats.org/officeDocument/2006/relationships/hyperlink" Target="https://cookiepdf-v2-assests.s3.ap-south-1.amazonaws.com/NCT+OF+Delhi/CENTRAL/2+-+BURARI_324/2025-EROLLGEN-U05-2-FinalRoll-Revision1-ENG-27-WI.pdf" TargetMode="External"/><Relationship Id="rId364" Type="http://schemas.openxmlformats.org/officeDocument/2006/relationships/hyperlink" Target="https://cookiepdf-v2-assests.s3.ap-south-1.amazonaws.com/NCT+OF+Delhi/CENTRAL/2+-+BURARI_324/2025-EROLLGEN-U05-2-FinalRoll-Revision1-ENG-69-WI.pdf" TargetMode="External"/><Relationship Id="rId767" Type="http://schemas.openxmlformats.org/officeDocument/2006/relationships/hyperlink" Target="https://cookiepdf-v2-assests.s3.ap-south-1.amazonaws.com/NCT+OF+Delhi/CENTRAL/3+-+TIMARPUR_178/2025-EROLLGEN-U05-3-FinalRoll-Revision1-ENG-164-WI.pdf" TargetMode="External"/><Relationship Id="rId61" Type="http://schemas.openxmlformats.org/officeDocument/2006/relationships/hyperlink" Target="https://cookiepdf-v2-assests.s3.ap-south-1.amazonaws.com/NCT+OF+Delhi/NORTH/1+-+NERELA_295/2025-EROLLGEN-U05-1-FinalRoll-Revision1-ENG-61-WI.pdf" TargetMode="External"/><Relationship Id="rId199" Type="http://schemas.openxmlformats.org/officeDocument/2006/relationships/hyperlink" Target="https://cookiepdf-v2-assests.s3.ap-south-1.amazonaws.com/NCT+OF+Delhi/NORTH/1+-+NERELA_295/2025-EROLLGEN-U05-1-FinalRoll-Revision1-ENG-199-WI.pdf" TargetMode="External"/><Relationship Id="rId571" Type="http://schemas.openxmlformats.org/officeDocument/2006/relationships/hyperlink" Target="https://cookiepdf-v2-assests.s3.ap-south-1.amazonaws.com/NCT+OF+Delhi/CENTRAL/2+-+BURARI_324/2025-EROLLGEN-U05-2-FinalRoll-Revision1-ENG-276-WI.pdf" TargetMode="External"/><Relationship Id="rId627" Type="http://schemas.openxmlformats.org/officeDocument/2006/relationships/hyperlink" Target="https://cookiepdf-v2-assests.s3.ap-south-1.amazonaws.com/NCT+OF+Delhi/CENTRAL/3+-+TIMARPUR_178/2025-EROLLGEN-U05-3-FinalRoll-Revision1-ENG-24-WI.pdf" TargetMode="External"/><Relationship Id="rId669" Type="http://schemas.openxmlformats.org/officeDocument/2006/relationships/hyperlink" Target="https://cookiepdf-v2-assests.s3.ap-south-1.amazonaws.com/NCT+OF+Delhi/CENTRAL/3+-+TIMARPUR_178/2025-EROLLGEN-U05-3-FinalRoll-Revision1-ENG-66-WI.pdf" TargetMode="External"/><Relationship Id="rId19" Type="http://schemas.openxmlformats.org/officeDocument/2006/relationships/hyperlink" Target="https://cookiepdf-v2-assests.s3.ap-south-1.amazonaws.com/NCT+OF+Delhi/NORTH/1+-+NERELA_295/2025-EROLLGEN-U05-1-FinalRoll-Revision1-ENG-19-WI.pdf" TargetMode="External"/><Relationship Id="rId224" Type="http://schemas.openxmlformats.org/officeDocument/2006/relationships/hyperlink" Target="https://cookiepdf-v2-assests.s3.ap-south-1.amazonaws.com/NCT+OF+Delhi/NORTH/1+-+NERELA_295/2025-EROLLGEN-U05-1-FinalRoll-Revision1-ENG-224-WI.pdf" TargetMode="External"/><Relationship Id="rId266" Type="http://schemas.openxmlformats.org/officeDocument/2006/relationships/hyperlink" Target="https://cookiepdf-v2-assests.s3.ap-south-1.amazonaws.com/NCT+OF+Delhi/NORTH/1+-+NERELA_295/2025-EROLLGEN-U05-1-FinalRoll-Revision1-ENG-266-WI.pdf" TargetMode="External"/><Relationship Id="rId431" Type="http://schemas.openxmlformats.org/officeDocument/2006/relationships/hyperlink" Target="https://cookiepdf-v2-assests.s3.ap-south-1.amazonaws.com/NCT+OF+Delhi/CENTRAL/2+-+BURARI_324/2025-EROLLGEN-U05-2-FinalRoll-Revision1-ENG-136-WI.pdf" TargetMode="External"/><Relationship Id="rId473" Type="http://schemas.openxmlformats.org/officeDocument/2006/relationships/hyperlink" Target="https://cookiepdf-v2-assests.s3.ap-south-1.amazonaws.com/NCT+OF+Delhi/CENTRAL/2+-+BURARI_324/2025-EROLLGEN-U05-2-FinalRoll-Revision1-ENG-178-WI.pdf" TargetMode="External"/><Relationship Id="rId529" Type="http://schemas.openxmlformats.org/officeDocument/2006/relationships/hyperlink" Target="https://cookiepdf-v2-assests.s3.ap-south-1.amazonaws.com/NCT+OF+Delhi/CENTRAL/2+-+BURARI_324/2025-EROLLGEN-U05-2-FinalRoll-Revision1-ENG-234-WI.pdf" TargetMode="External"/><Relationship Id="rId680" Type="http://schemas.openxmlformats.org/officeDocument/2006/relationships/hyperlink" Target="https://cookiepdf-v2-assests.s3.ap-south-1.amazonaws.com/NCT+OF+Delhi/CENTRAL/3+-+TIMARPUR_178/2025-EROLLGEN-U05-3-FinalRoll-Revision1-ENG-77-WI.pdf" TargetMode="External"/><Relationship Id="rId736" Type="http://schemas.openxmlformats.org/officeDocument/2006/relationships/hyperlink" Target="https://cookiepdf-v2-assests.s3.ap-south-1.amazonaws.com/NCT+OF+Delhi/CENTRAL/3+-+TIMARPUR_178/2025-EROLLGEN-U05-3-FinalRoll-Revision1-ENG-133-WI.pdf" TargetMode="External"/><Relationship Id="rId30" Type="http://schemas.openxmlformats.org/officeDocument/2006/relationships/hyperlink" Target="https://cookiepdf-v2-assests.s3.ap-south-1.amazonaws.com/NCT+OF+Delhi/NORTH/1+-+NERELA_295/2025-EROLLGEN-U05-1-FinalRoll-Revision1-ENG-30-WI.pdf" TargetMode="External"/><Relationship Id="rId126" Type="http://schemas.openxmlformats.org/officeDocument/2006/relationships/hyperlink" Target="https://cookiepdf-v2-assests.s3.ap-south-1.amazonaws.com/NCT+OF+Delhi/NORTH/1+-+NERELA_295/2025-EROLLGEN-U05-1-FinalRoll-Revision1-ENG-126-WI.pdf" TargetMode="External"/><Relationship Id="rId168" Type="http://schemas.openxmlformats.org/officeDocument/2006/relationships/hyperlink" Target="https://cookiepdf-v2-assests.s3.ap-south-1.amazonaws.com/NCT+OF+Delhi/NORTH/1+-+NERELA_295/2025-EROLLGEN-U05-1-FinalRoll-Revision1-ENG-168-WI.pdf" TargetMode="External"/><Relationship Id="rId333" Type="http://schemas.openxmlformats.org/officeDocument/2006/relationships/hyperlink" Target="https://cookiepdf-v2-assests.s3.ap-south-1.amazonaws.com/NCT+OF+Delhi/CENTRAL/2+-+BURARI_324/2025-EROLLGEN-U05-2-FinalRoll-Revision1-ENG-38-WI.pdf" TargetMode="External"/><Relationship Id="rId540" Type="http://schemas.openxmlformats.org/officeDocument/2006/relationships/hyperlink" Target="https://cookiepdf-v2-assests.s3.ap-south-1.amazonaws.com/NCT+OF+Delhi/CENTRAL/2+-+BURARI_324/2025-EROLLGEN-U05-2-FinalRoll-Revision1-ENG-245-WI.pdf" TargetMode="External"/><Relationship Id="rId778" Type="http://schemas.openxmlformats.org/officeDocument/2006/relationships/hyperlink" Target="https://cookiepdf-v2-assests.s3.ap-south-1.amazonaws.com/NCT+OF+Delhi/CENTRAL/3+-+TIMARPUR_178/2025-EROLLGEN-U05-3-FinalRoll-Revision1-ENG-175-WI.pdf" TargetMode="External"/><Relationship Id="rId72" Type="http://schemas.openxmlformats.org/officeDocument/2006/relationships/hyperlink" Target="https://cookiepdf-v2-assests.s3.ap-south-1.amazonaws.com/NCT+OF+Delhi/NORTH/1+-+NERELA_295/2025-EROLLGEN-U05-1-FinalRoll-Revision1-ENG-72-WI.pdf" TargetMode="External"/><Relationship Id="rId375" Type="http://schemas.openxmlformats.org/officeDocument/2006/relationships/hyperlink" Target="https://cookiepdf-v2-assests.s3.ap-south-1.amazonaws.com/NCT+OF+Delhi/CENTRAL/2+-+BURARI_324/2025-EROLLGEN-U05-2-FinalRoll-Revision1-ENG-80-WI.pdf" TargetMode="External"/><Relationship Id="rId582" Type="http://schemas.openxmlformats.org/officeDocument/2006/relationships/hyperlink" Target="https://cookiepdf-v2-assests.s3.ap-south-1.amazonaws.com/NCT+OF+Delhi/CENTRAL/2+-+BURARI_324/2025-EROLLGEN-U05-2-FinalRoll-Revision1-ENG-287-WI.pdf" TargetMode="External"/><Relationship Id="rId638" Type="http://schemas.openxmlformats.org/officeDocument/2006/relationships/hyperlink" Target="https://cookiepdf-v2-assests.s3.ap-south-1.amazonaws.com/NCT+OF+Delhi/CENTRAL/3+-+TIMARPUR_178/2025-EROLLGEN-U05-3-FinalRoll-Revision1-ENG-35-WI.pdf" TargetMode="External"/><Relationship Id="rId3" Type="http://schemas.openxmlformats.org/officeDocument/2006/relationships/hyperlink" Target="https://cookiepdf-v2-assests.s3.ap-south-1.amazonaws.com/NCT+OF+Delhi/NORTH/1+-+NERELA_295/2025-EROLLGEN-U05-1-FinalRoll-Revision1-ENG-3-WI.pdf" TargetMode="External"/><Relationship Id="rId235" Type="http://schemas.openxmlformats.org/officeDocument/2006/relationships/hyperlink" Target="https://cookiepdf-v2-assests.s3.ap-south-1.amazonaws.com/NCT+OF+Delhi/NORTH/1+-+NERELA_295/2025-EROLLGEN-U05-1-FinalRoll-Revision1-ENG-235-WI.pdf" TargetMode="External"/><Relationship Id="rId277" Type="http://schemas.openxmlformats.org/officeDocument/2006/relationships/hyperlink" Target="https://cookiepdf-v2-assests.s3.ap-south-1.amazonaws.com/NCT+OF+Delhi/NORTH/1+-+NERELA_295/2025-EROLLGEN-U05-1-FinalRoll-Revision1-ENG-277-WI.pdf" TargetMode="External"/><Relationship Id="rId400" Type="http://schemas.openxmlformats.org/officeDocument/2006/relationships/hyperlink" Target="https://cookiepdf-v2-assests.s3.ap-south-1.amazonaws.com/NCT+OF+Delhi/CENTRAL/2+-+BURARI_324/2025-EROLLGEN-U05-2-FinalRoll-Revision1-ENG-105-WI.pdf" TargetMode="External"/><Relationship Id="rId442" Type="http://schemas.openxmlformats.org/officeDocument/2006/relationships/hyperlink" Target="https://cookiepdf-v2-assests.s3.ap-south-1.amazonaws.com/NCT+OF+Delhi/CENTRAL/2+-+BURARI_324/2025-EROLLGEN-U05-2-FinalRoll-Revision1-ENG-147-WI.pdf" TargetMode="External"/><Relationship Id="rId484" Type="http://schemas.openxmlformats.org/officeDocument/2006/relationships/hyperlink" Target="https://cookiepdf-v2-assests.s3.ap-south-1.amazonaws.com/NCT+OF+Delhi/CENTRAL/2+-+BURARI_324/2025-EROLLGEN-U05-2-FinalRoll-Revision1-ENG-189-WI.pdf" TargetMode="External"/><Relationship Id="rId705" Type="http://schemas.openxmlformats.org/officeDocument/2006/relationships/hyperlink" Target="https://cookiepdf-v2-assests.s3.ap-south-1.amazonaws.com/NCT+OF+Delhi/CENTRAL/3+-+TIMARPUR_178/2025-EROLLGEN-U05-3-FinalRoll-Revision1-ENG-102-WI.pdf" TargetMode="External"/><Relationship Id="rId137" Type="http://schemas.openxmlformats.org/officeDocument/2006/relationships/hyperlink" Target="https://cookiepdf-v2-assests.s3.ap-south-1.amazonaws.com/NCT+OF+Delhi/NORTH/1+-+NERELA_295/2025-EROLLGEN-U05-1-FinalRoll-Revision1-ENG-137-WI.pdf" TargetMode="External"/><Relationship Id="rId302" Type="http://schemas.openxmlformats.org/officeDocument/2006/relationships/hyperlink" Target="https://cookiepdf-v2-assests.s3.ap-south-1.amazonaws.com/NCT+OF+Delhi/CENTRAL/2+-+BURARI_324/2025-EROLLGEN-U05-2-FinalRoll-Revision1-ENG-7-WI.pdf" TargetMode="External"/><Relationship Id="rId344" Type="http://schemas.openxmlformats.org/officeDocument/2006/relationships/hyperlink" Target="https://cookiepdf-v2-assests.s3.ap-south-1.amazonaws.com/NCT+OF+Delhi/CENTRAL/2+-+BURARI_324/2025-EROLLGEN-U05-2-FinalRoll-Revision1-ENG-49-WI.pdf" TargetMode="External"/><Relationship Id="rId691" Type="http://schemas.openxmlformats.org/officeDocument/2006/relationships/hyperlink" Target="https://cookiepdf-v2-assests.s3.ap-south-1.amazonaws.com/NCT+OF+Delhi/CENTRAL/3+-+TIMARPUR_178/2025-EROLLGEN-U05-3-FinalRoll-Revision1-ENG-88-WI.pdf" TargetMode="External"/><Relationship Id="rId747" Type="http://schemas.openxmlformats.org/officeDocument/2006/relationships/hyperlink" Target="https://cookiepdf-v2-assests.s3.ap-south-1.amazonaws.com/NCT+OF+Delhi/CENTRAL/3+-+TIMARPUR_178/2025-EROLLGEN-U05-3-FinalRoll-Revision1-ENG-144-WI.pdf" TargetMode="External"/><Relationship Id="rId41" Type="http://schemas.openxmlformats.org/officeDocument/2006/relationships/hyperlink" Target="https://cookiepdf-v2-assests.s3.ap-south-1.amazonaws.com/NCT+OF+Delhi/NORTH/1+-+NERELA_295/2025-EROLLGEN-U05-1-FinalRoll-Revision1-ENG-41-WI.pdf" TargetMode="External"/><Relationship Id="rId83" Type="http://schemas.openxmlformats.org/officeDocument/2006/relationships/hyperlink" Target="https://cookiepdf-v2-assests.s3.ap-south-1.amazonaws.com/NCT+OF+Delhi/NORTH/1+-+NERELA_295/2025-EROLLGEN-U05-1-FinalRoll-Revision1-ENG-83-WI.pdf" TargetMode="External"/><Relationship Id="rId179" Type="http://schemas.openxmlformats.org/officeDocument/2006/relationships/hyperlink" Target="https://cookiepdf-v2-assests.s3.ap-south-1.amazonaws.com/NCT+OF+Delhi/NORTH/1+-+NERELA_295/2025-EROLLGEN-U05-1-FinalRoll-Revision1-ENG-179-WI.pdf" TargetMode="External"/><Relationship Id="rId386" Type="http://schemas.openxmlformats.org/officeDocument/2006/relationships/hyperlink" Target="https://cookiepdf-v2-assests.s3.ap-south-1.amazonaws.com/NCT+OF+Delhi/CENTRAL/2+-+BURARI_324/2025-EROLLGEN-U05-2-FinalRoll-Revision1-ENG-91-WI.pdf" TargetMode="External"/><Relationship Id="rId551" Type="http://schemas.openxmlformats.org/officeDocument/2006/relationships/hyperlink" Target="https://cookiepdf-v2-assests.s3.ap-south-1.amazonaws.com/NCT+OF+Delhi/CENTRAL/2+-+BURARI_324/2025-EROLLGEN-U05-2-FinalRoll-Revision1-ENG-256-WI.pdf" TargetMode="External"/><Relationship Id="rId593" Type="http://schemas.openxmlformats.org/officeDocument/2006/relationships/hyperlink" Target="https://cookiepdf-v2-assests.s3.ap-south-1.amazonaws.com/NCT+OF+Delhi/CENTRAL/2+-+BURARI_324/2025-EROLLGEN-U05-2-FinalRoll-Revision1-ENG-298-WI.pdf" TargetMode="External"/><Relationship Id="rId607" Type="http://schemas.openxmlformats.org/officeDocument/2006/relationships/hyperlink" Target="https://cookiepdf-v2-assests.s3.ap-south-1.amazonaws.com/NCT+OF+Delhi/CENTRAL/3+-+TIMARPUR_178/2025-EROLLGEN-U05-3-FinalRoll-Revision1-ENG-4-WI.pdf" TargetMode="External"/><Relationship Id="rId649" Type="http://schemas.openxmlformats.org/officeDocument/2006/relationships/hyperlink" Target="https://cookiepdf-v2-assests.s3.ap-south-1.amazonaws.com/NCT+OF+Delhi/CENTRAL/3+-+TIMARPUR_178/2025-EROLLGEN-U05-3-FinalRoll-Revision1-ENG-46-WI.pdf" TargetMode="External"/><Relationship Id="rId190" Type="http://schemas.openxmlformats.org/officeDocument/2006/relationships/hyperlink" Target="https://cookiepdf-v2-assests.s3.ap-south-1.amazonaws.com/NCT+OF+Delhi/NORTH/1+-+NERELA_295/2025-EROLLGEN-U05-1-FinalRoll-Revision1-ENG-190-WI.pdf" TargetMode="External"/><Relationship Id="rId204" Type="http://schemas.openxmlformats.org/officeDocument/2006/relationships/hyperlink" Target="https://cookiepdf-v2-assests.s3.ap-south-1.amazonaws.com/NCT+OF+Delhi/NORTH/1+-+NERELA_295/2025-EROLLGEN-U05-1-FinalRoll-Revision1-ENG-204-WI.pdf" TargetMode="External"/><Relationship Id="rId246" Type="http://schemas.openxmlformats.org/officeDocument/2006/relationships/hyperlink" Target="https://cookiepdf-v2-assests.s3.ap-south-1.amazonaws.com/NCT+OF+Delhi/NORTH/1+-+NERELA_295/2025-EROLLGEN-U05-1-FinalRoll-Revision1-ENG-246-WI.pdf" TargetMode="External"/><Relationship Id="rId288" Type="http://schemas.openxmlformats.org/officeDocument/2006/relationships/hyperlink" Target="https://cookiepdf-v2-assests.s3.ap-south-1.amazonaws.com/NCT+OF+Delhi/NORTH/1+-+NERELA_295/2025-EROLLGEN-U05-1-FinalRoll-Revision1-ENG-288-WI.pdf" TargetMode="External"/><Relationship Id="rId411" Type="http://schemas.openxmlformats.org/officeDocument/2006/relationships/hyperlink" Target="https://cookiepdf-v2-assests.s3.ap-south-1.amazonaws.com/NCT+OF+Delhi/CENTRAL/2+-+BURARI_324/2025-EROLLGEN-U05-2-FinalRoll-Revision1-ENG-116-WI.pdf" TargetMode="External"/><Relationship Id="rId453" Type="http://schemas.openxmlformats.org/officeDocument/2006/relationships/hyperlink" Target="https://cookiepdf-v2-assests.s3.ap-south-1.amazonaws.com/NCT+OF+Delhi/CENTRAL/2+-+BURARI_324/2025-EROLLGEN-U05-2-FinalRoll-Revision1-ENG-158-WI.pdf" TargetMode="External"/><Relationship Id="rId509" Type="http://schemas.openxmlformats.org/officeDocument/2006/relationships/hyperlink" Target="https://cookiepdf-v2-assests.s3.ap-south-1.amazonaws.com/NCT+OF+Delhi/CENTRAL/2+-+BURARI_324/2025-EROLLGEN-U05-2-FinalRoll-Revision1-ENG-214-WI.pdf" TargetMode="External"/><Relationship Id="rId660" Type="http://schemas.openxmlformats.org/officeDocument/2006/relationships/hyperlink" Target="https://cookiepdf-v2-assests.s3.ap-south-1.amazonaws.com/NCT+OF+Delhi/CENTRAL/3+-+TIMARPUR_178/2025-EROLLGEN-U05-3-FinalRoll-Revision1-ENG-57-WI.pdf" TargetMode="External"/><Relationship Id="rId106" Type="http://schemas.openxmlformats.org/officeDocument/2006/relationships/hyperlink" Target="https://cookiepdf-v2-assests.s3.ap-south-1.amazonaws.com/NCT+OF+Delhi/NORTH/1+-+NERELA_295/2025-EROLLGEN-U05-1-FinalRoll-Revision1-ENG-106-WI.pdf" TargetMode="External"/><Relationship Id="rId313" Type="http://schemas.openxmlformats.org/officeDocument/2006/relationships/hyperlink" Target="https://cookiepdf-v2-assests.s3.ap-south-1.amazonaws.com/NCT+OF+Delhi/CENTRAL/2+-+BURARI_324/2025-EROLLGEN-U05-2-FinalRoll-Revision1-ENG-18-WI.pdf" TargetMode="External"/><Relationship Id="rId495" Type="http://schemas.openxmlformats.org/officeDocument/2006/relationships/hyperlink" Target="https://cookiepdf-v2-assests.s3.ap-south-1.amazonaws.com/NCT+OF+Delhi/CENTRAL/2+-+BURARI_324/2025-EROLLGEN-U05-2-FinalRoll-Revision1-ENG-200-WI.pdf" TargetMode="External"/><Relationship Id="rId716" Type="http://schemas.openxmlformats.org/officeDocument/2006/relationships/hyperlink" Target="https://cookiepdf-v2-assests.s3.ap-south-1.amazonaws.com/NCT+OF+Delhi/CENTRAL/3+-+TIMARPUR_178/2025-EROLLGEN-U05-3-FinalRoll-Revision1-ENG-113-WI.pdf" TargetMode="External"/><Relationship Id="rId758" Type="http://schemas.openxmlformats.org/officeDocument/2006/relationships/hyperlink" Target="https://cookiepdf-v2-assests.s3.ap-south-1.amazonaws.com/NCT+OF+Delhi/CENTRAL/3+-+TIMARPUR_178/2025-EROLLGEN-U05-3-FinalRoll-Revision1-ENG-155-WI.pdf" TargetMode="External"/><Relationship Id="rId10" Type="http://schemas.openxmlformats.org/officeDocument/2006/relationships/hyperlink" Target="https://cookiepdf-v2-assests.s3.ap-south-1.amazonaws.com/NCT+OF+Delhi/NORTH/1+-+NERELA_295/2025-EROLLGEN-U05-1-FinalRoll-Revision1-ENG-10-WI.pdf" TargetMode="External"/><Relationship Id="rId52" Type="http://schemas.openxmlformats.org/officeDocument/2006/relationships/hyperlink" Target="https://cookiepdf-v2-assests.s3.ap-south-1.amazonaws.com/NCT+OF+Delhi/NORTH/1+-+NERELA_295/2025-EROLLGEN-U05-1-FinalRoll-Revision1-ENG-52-WI.pdf" TargetMode="External"/><Relationship Id="rId94" Type="http://schemas.openxmlformats.org/officeDocument/2006/relationships/hyperlink" Target="https://cookiepdf-v2-assests.s3.ap-south-1.amazonaws.com/NCT+OF+Delhi/NORTH/1+-+NERELA_295/2025-EROLLGEN-U05-1-FinalRoll-Revision1-ENG-94-WI.pdf" TargetMode="External"/><Relationship Id="rId148" Type="http://schemas.openxmlformats.org/officeDocument/2006/relationships/hyperlink" Target="https://cookiepdf-v2-assests.s3.ap-south-1.amazonaws.com/NCT+OF+Delhi/NORTH/1+-+NERELA_295/2025-EROLLGEN-U05-1-FinalRoll-Revision1-ENG-148-WI.pdf" TargetMode="External"/><Relationship Id="rId355" Type="http://schemas.openxmlformats.org/officeDocument/2006/relationships/hyperlink" Target="https://cookiepdf-v2-assests.s3.ap-south-1.amazonaws.com/NCT+OF+Delhi/CENTRAL/2+-+BURARI_324/2025-EROLLGEN-U05-2-FinalRoll-Revision1-ENG-60-WI.pdf" TargetMode="External"/><Relationship Id="rId397" Type="http://schemas.openxmlformats.org/officeDocument/2006/relationships/hyperlink" Target="https://cookiepdf-v2-assests.s3.ap-south-1.amazonaws.com/NCT+OF+Delhi/CENTRAL/2+-+BURARI_324/2025-EROLLGEN-U05-2-FinalRoll-Revision1-ENG-102-WI.pdf" TargetMode="External"/><Relationship Id="rId520" Type="http://schemas.openxmlformats.org/officeDocument/2006/relationships/hyperlink" Target="https://cookiepdf-v2-assests.s3.ap-south-1.amazonaws.com/NCT+OF+Delhi/CENTRAL/2+-+BURARI_324/2025-EROLLGEN-U05-2-FinalRoll-Revision1-ENG-225-WI.pdf" TargetMode="External"/><Relationship Id="rId562" Type="http://schemas.openxmlformats.org/officeDocument/2006/relationships/hyperlink" Target="https://cookiepdf-v2-assests.s3.ap-south-1.amazonaws.com/NCT+OF+Delhi/CENTRAL/2+-+BURARI_324/2025-EROLLGEN-U05-2-FinalRoll-Revision1-ENG-267-WI.pdf" TargetMode="External"/><Relationship Id="rId618" Type="http://schemas.openxmlformats.org/officeDocument/2006/relationships/hyperlink" Target="https://cookiepdf-v2-assests.s3.ap-south-1.amazonaws.com/NCT+OF+Delhi/CENTRAL/3+-+TIMARPUR_178/2025-EROLLGEN-U05-3-FinalRoll-Revision1-ENG-15-WI.pdf" TargetMode="External"/><Relationship Id="rId215" Type="http://schemas.openxmlformats.org/officeDocument/2006/relationships/hyperlink" Target="https://cookiepdf-v2-assests.s3.ap-south-1.amazonaws.com/NCT+OF+Delhi/NORTH/1+-+NERELA_295/2025-EROLLGEN-U05-1-FinalRoll-Revision1-ENG-215-WI.pdf" TargetMode="External"/><Relationship Id="rId257" Type="http://schemas.openxmlformats.org/officeDocument/2006/relationships/hyperlink" Target="https://cookiepdf-v2-assests.s3.ap-south-1.amazonaws.com/NCT+OF+Delhi/NORTH/1+-+NERELA_295/2025-EROLLGEN-U05-1-FinalRoll-Revision1-ENG-257-WI.pdf" TargetMode="External"/><Relationship Id="rId422" Type="http://schemas.openxmlformats.org/officeDocument/2006/relationships/hyperlink" Target="https://cookiepdf-v2-assests.s3.ap-south-1.amazonaws.com/NCT+OF+Delhi/CENTRAL/2+-+BURARI_324/2025-EROLLGEN-U05-2-FinalRoll-Revision1-ENG-127-WI.pdf" TargetMode="External"/><Relationship Id="rId464" Type="http://schemas.openxmlformats.org/officeDocument/2006/relationships/hyperlink" Target="https://cookiepdf-v2-assests.s3.ap-south-1.amazonaws.com/NCT+OF+Delhi/CENTRAL/2+-+BURARI_324/2025-EROLLGEN-U05-2-FinalRoll-Revision1-ENG-169-WI.pdf" TargetMode="External"/><Relationship Id="rId299" Type="http://schemas.openxmlformats.org/officeDocument/2006/relationships/hyperlink" Target="https://cookiepdf-v2-assests.s3.ap-south-1.amazonaws.com/NCT+OF+Delhi/CENTRAL/2+-+BURARI_324/2025-EROLLGEN-U05-2-FinalRoll-Revision1-ENG-4-WI.pdf" TargetMode="External"/><Relationship Id="rId727" Type="http://schemas.openxmlformats.org/officeDocument/2006/relationships/hyperlink" Target="https://cookiepdf-v2-assests.s3.ap-south-1.amazonaws.com/NCT+OF+Delhi/CENTRAL/3+-+TIMARPUR_178/2025-EROLLGEN-U05-3-FinalRoll-Revision1-ENG-124-WI.pdf" TargetMode="External"/><Relationship Id="rId63" Type="http://schemas.openxmlformats.org/officeDocument/2006/relationships/hyperlink" Target="https://cookiepdf-v2-assests.s3.ap-south-1.amazonaws.com/NCT+OF+Delhi/NORTH/1+-+NERELA_295/2025-EROLLGEN-U05-1-FinalRoll-Revision1-ENG-63-WI.pdf" TargetMode="External"/><Relationship Id="rId159" Type="http://schemas.openxmlformats.org/officeDocument/2006/relationships/hyperlink" Target="https://cookiepdf-v2-assests.s3.ap-south-1.amazonaws.com/NCT+OF+Delhi/NORTH/1+-+NERELA_295/2025-EROLLGEN-U05-1-FinalRoll-Revision1-ENG-159-WI.pdf" TargetMode="External"/><Relationship Id="rId366" Type="http://schemas.openxmlformats.org/officeDocument/2006/relationships/hyperlink" Target="https://cookiepdf-v2-assests.s3.ap-south-1.amazonaws.com/NCT+OF+Delhi/CENTRAL/2+-+BURARI_324/2025-EROLLGEN-U05-2-FinalRoll-Revision1-ENG-71-WI.pdf" TargetMode="External"/><Relationship Id="rId573" Type="http://schemas.openxmlformats.org/officeDocument/2006/relationships/hyperlink" Target="https://cookiepdf-v2-assests.s3.ap-south-1.amazonaws.com/NCT+OF+Delhi/CENTRAL/2+-+BURARI_324/2025-EROLLGEN-U05-2-FinalRoll-Revision1-ENG-278-WI.pdf" TargetMode="External"/><Relationship Id="rId780" Type="http://schemas.openxmlformats.org/officeDocument/2006/relationships/hyperlink" Target="https://cookiepdf-v2-assests.s3.ap-south-1.amazonaws.com/NCT+OF+Delhi/CENTRAL/3+-+TIMARPUR_178/2025-EROLLGEN-U05-3-FinalRoll-Revision1-ENG-177-WI.pdf" TargetMode="External"/><Relationship Id="rId226" Type="http://schemas.openxmlformats.org/officeDocument/2006/relationships/hyperlink" Target="https://cookiepdf-v2-assests.s3.ap-south-1.amazonaws.com/NCT+OF+Delhi/NORTH/1+-+NERELA_295/2025-EROLLGEN-U05-1-FinalRoll-Revision1-ENG-226-WI.pdf" TargetMode="External"/><Relationship Id="rId433" Type="http://schemas.openxmlformats.org/officeDocument/2006/relationships/hyperlink" Target="https://cookiepdf-v2-assests.s3.ap-south-1.amazonaws.com/NCT+OF+Delhi/CENTRAL/2+-+BURARI_324/2025-EROLLGEN-U05-2-FinalRoll-Revision1-ENG-138-WI.pdf" TargetMode="External"/><Relationship Id="rId640" Type="http://schemas.openxmlformats.org/officeDocument/2006/relationships/hyperlink" Target="https://cookiepdf-v2-assests.s3.ap-south-1.amazonaws.com/NCT+OF+Delhi/CENTRAL/3+-+TIMARPUR_178/2025-EROLLGEN-U05-3-FinalRoll-Revision1-ENG-37-WI.pdf" TargetMode="External"/><Relationship Id="rId738" Type="http://schemas.openxmlformats.org/officeDocument/2006/relationships/hyperlink" Target="https://cookiepdf-v2-assests.s3.ap-south-1.amazonaws.com/NCT+OF+Delhi/CENTRAL/3+-+TIMARPUR_178/2025-EROLLGEN-U05-3-FinalRoll-Revision1-ENG-135-WI.pdf" TargetMode="External"/><Relationship Id="rId74" Type="http://schemas.openxmlformats.org/officeDocument/2006/relationships/hyperlink" Target="https://cookiepdf-v2-assests.s3.ap-south-1.amazonaws.com/NCT+OF+Delhi/NORTH/1+-+NERELA_295/2025-EROLLGEN-U05-1-FinalRoll-Revision1-ENG-74-WI.pdf" TargetMode="External"/><Relationship Id="rId377" Type="http://schemas.openxmlformats.org/officeDocument/2006/relationships/hyperlink" Target="https://cookiepdf-v2-assests.s3.ap-south-1.amazonaws.com/NCT+OF+Delhi/CENTRAL/2+-+BURARI_324/2025-EROLLGEN-U05-2-FinalRoll-Revision1-ENG-82-WI.pdf" TargetMode="External"/><Relationship Id="rId500" Type="http://schemas.openxmlformats.org/officeDocument/2006/relationships/hyperlink" Target="https://cookiepdf-v2-assests.s3.ap-south-1.amazonaws.com/NCT+OF+Delhi/CENTRAL/2+-+BURARI_324/2025-EROLLGEN-U05-2-FinalRoll-Revision1-ENG-205-WI.pdf" TargetMode="External"/><Relationship Id="rId584" Type="http://schemas.openxmlformats.org/officeDocument/2006/relationships/hyperlink" Target="https://cookiepdf-v2-assests.s3.ap-south-1.amazonaws.com/NCT+OF+Delhi/CENTRAL/2+-+BURARI_324/2025-EROLLGEN-U05-2-FinalRoll-Revision1-ENG-289-WI.pdf" TargetMode="External"/><Relationship Id="rId5" Type="http://schemas.openxmlformats.org/officeDocument/2006/relationships/hyperlink" Target="https://cookiepdf-v2-assests.s3.ap-south-1.amazonaws.com/NCT+OF+Delhi/NORTH/1+-+NERELA_295/2025-EROLLGEN-U05-1-FinalRoll-Revision1-ENG-5-WI.pdf" TargetMode="External"/><Relationship Id="rId237" Type="http://schemas.openxmlformats.org/officeDocument/2006/relationships/hyperlink" Target="https://cookiepdf-v2-assests.s3.ap-south-1.amazonaws.com/NCT+OF+Delhi/NORTH/1+-+NERELA_295/2025-EROLLGEN-U05-1-FinalRoll-Revision1-ENG-237-WI.pdf" TargetMode="External"/><Relationship Id="rId444" Type="http://schemas.openxmlformats.org/officeDocument/2006/relationships/hyperlink" Target="https://cookiepdf-v2-assests.s3.ap-south-1.amazonaws.com/NCT+OF+Delhi/CENTRAL/2+-+BURARI_324/2025-EROLLGEN-U05-2-FinalRoll-Revision1-ENG-149-WI.pdf" TargetMode="External"/><Relationship Id="rId651" Type="http://schemas.openxmlformats.org/officeDocument/2006/relationships/hyperlink" Target="https://cookiepdf-v2-assests.s3.ap-south-1.amazonaws.com/NCT+OF+Delhi/CENTRAL/3+-+TIMARPUR_178/2025-EROLLGEN-U05-3-FinalRoll-Revision1-ENG-48-WI.pdf" TargetMode="External"/><Relationship Id="rId749" Type="http://schemas.openxmlformats.org/officeDocument/2006/relationships/hyperlink" Target="https://cookiepdf-v2-assests.s3.ap-south-1.amazonaws.com/NCT+OF+Delhi/CENTRAL/3+-+TIMARPUR_178/2025-EROLLGEN-U05-3-FinalRoll-Revision1-ENG-146-WI.pdf" TargetMode="External"/><Relationship Id="rId290" Type="http://schemas.openxmlformats.org/officeDocument/2006/relationships/hyperlink" Target="https://cookiepdf-v2-assests.s3.ap-south-1.amazonaws.com/NCT+OF+Delhi/NORTH/1+-+NERELA_295/2025-EROLLGEN-U05-1-FinalRoll-Revision1-ENG-290-WI.pdf" TargetMode="External"/><Relationship Id="rId304" Type="http://schemas.openxmlformats.org/officeDocument/2006/relationships/hyperlink" Target="https://cookiepdf-v2-assests.s3.ap-south-1.amazonaws.com/NCT+OF+Delhi/CENTRAL/2+-+BURARI_324/2025-EROLLGEN-U05-2-FinalRoll-Revision1-ENG-9-WI.pdf" TargetMode="External"/><Relationship Id="rId388" Type="http://schemas.openxmlformats.org/officeDocument/2006/relationships/hyperlink" Target="https://cookiepdf-v2-assests.s3.ap-south-1.amazonaws.com/NCT+OF+Delhi/CENTRAL/2+-+BURARI_324/2025-EROLLGEN-U05-2-FinalRoll-Revision1-ENG-93-WI.pdf" TargetMode="External"/><Relationship Id="rId511" Type="http://schemas.openxmlformats.org/officeDocument/2006/relationships/hyperlink" Target="https://cookiepdf-v2-assests.s3.ap-south-1.amazonaws.com/NCT+OF+Delhi/CENTRAL/2+-+BURARI_324/2025-EROLLGEN-U05-2-FinalRoll-Revision1-ENG-216-WI.pdf" TargetMode="External"/><Relationship Id="rId609" Type="http://schemas.openxmlformats.org/officeDocument/2006/relationships/hyperlink" Target="https://cookiepdf-v2-assests.s3.ap-south-1.amazonaws.com/NCT+OF+Delhi/CENTRAL/3+-+TIMARPUR_178/2025-EROLLGEN-U05-3-FinalRoll-Revision1-ENG-6-WI.pdf" TargetMode="External"/><Relationship Id="rId85" Type="http://schemas.openxmlformats.org/officeDocument/2006/relationships/hyperlink" Target="https://cookiepdf-v2-assests.s3.ap-south-1.amazonaws.com/NCT+OF+Delhi/NORTH/1+-+NERELA_295/2025-EROLLGEN-U05-1-FinalRoll-Revision1-ENG-85-WI.pdf" TargetMode="External"/><Relationship Id="rId150" Type="http://schemas.openxmlformats.org/officeDocument/2006/relationships/hyperlink" Target="https://cookiepdf-v2-assests.s3.ap-south-1.amazonaws.com/NCT+OF+Delhi/NORTH/1+-+NERELA_295/2025-EROLLGEN-U05-1-FinalRoll-Revision1-ENG-150-WI.pdf" TargetMode="External"/><Relationship Id="rId595" Type="http://schemas.openxmlformats.org/officeDocument/2006/relationships/hyperlink" Target="https://cookiepdf-v2-assests.s3.ap-south-1.amazonaws.com/NCT+OF+Delhi/CENTRAL/2+-+BURARI_324/2025-EROLLGEN-U05-2-FinalRoll-Revision1-ENG-300-WI.pdf" TargetMode="External"/><Relationship Id="rId248" Type="http://schemas.openxmlformats.org/officeDocument/2006/relationships/hyperlink" Target="https://cookiepdf-v2-assests.s3.ap-south-1.amazonaws.com/NCT+OF+Delhi/NORTH/1+-+NERELA_295/2025-EROLLGEN-U05-1-FinalRoll-Revision1-ENG-248-WI.pdf" TargetMode="External"/><Relationship Id="rId455" Type="http://schemas.openxmlformats.org/officeDocument/2006/relationships/hyperlink" Target="https://cookiepdf-v2-assests.s3.ap-south-1.amazonaws.com/NCT+OF+Delhi/CENTRAL/2+-+BURARI_324/2025-EROLLGEN-U05-2-FinalRoll-Revision1-ENG-160-WI.pdf" TargetMode="External"/><Relationship Id="rId662" Type="http://schemas.openxmlformats.org/officeDocument/2006/relationships/hyperlink" Target="https://cookiepdf-v2-assests.s3.ap-south-1.amazonaws.com/NCT+OF+Delhi/CENTRAL/3+-+TIMARPUR_178/2025-EROLLGEN-U05-3-FinalRoll-Revision1-ENG-59-WI.pdf" TargetMode="External"/><Relationship Id="rId12" Type="http://schemas.openxmlformats.org/officeDocument/2006/relationships/hyperlink" Target="https://cookiepdf-v2-assests.s3.ap-south-1.amazonaws.com/NCT+OF+Delhi/NORTH/1+-+NERELA_295/2025-EROLLGEN-U05-1-FinalRoll-Revision1-ENG-12-WI.pdf" TargetMode="External"/><Relationship Id="rId108" Type="http://schemas.openxmlformats.org/officeDocument/2006/relationships/hyperlink" Target="https://cookiepdf-v2-assests.s3.ap-south-1.amazonaws.com/NCT+OF+Delhi/NORTH/1+-+NERELA_295/2025-EROLLGEN-U05-1-FinalRoll-Revision1-ENG-108-WI.pdf" TargetMode="External"/><Relationship Id="rId315" Type="http://schemas.openxmlformats.org/officeDocument/2006/relationships/hyperlink" Target="https://cookiepdf-v2-assests.s3.ap-south-1.amazonaws.com/NCT+OF+Delhi/CENTRAL/2+-+BURARI_324/2025-EROLLGEN-U05-2-FinalRoll-Revision1-ENG-20-WI.pdf" TargetMode="External"/><Relationship Id="rId522" Type="http://schemas.openxmlformats.org/officeDocument/2006/relationships/hyperlink" Target="https://cookiepdf-v2-assests.s3.ap-south-1.amazonaws.com/NCT+OF+Delhi/CENTRAL/2+-+BURARI_324/2025-EROLLGEN-U05-2-FinalRoll-Revision1-ENG-227-WI.pdf" TargetMode="External"/><Relationship Id="rId96" Type="http://schemas.openxmlformats.org/officeDocument/2006/relationships/hyperlink" Target="https://cookiepdf-v2-assests.s3.ap-south-1.amazonaws.com/NCT+OF+Delhi/NORTH/1+-+NERELA_295/2025-EROLLGEN-U05-1-FinalRoll-Revision1-ENG-96-WI.pdf" TargetMode="External"/><Relationship Id="rId161" Type="http://schemas.openxmlformats.org/officeDocument/2006/relationships/hyperlink" Target="https://cookiepdf-v2-assests.s3.ap-south-1.amazonaws.com/NCT+OF+Delhi/NORTH/1+-+NERELA_295/2025-EROLLGEN-U05-1-FinalRoll-Revision1-ENG-161-WI.pdf" TargetMode="External"/><Relationship Id="rId399" Type="http://schemas.openxmlformats.org/officeDocument/2006/relationships/hyperlink" Target="https://cookiepdf-v2-assests.s3.ap-south-1.amazonaws.com/NCT+OF+Delhi/CENTRAL/2+-+BURARI_324/2025-EROLLGEN-U05-2-FinalRoll-Revision1-ENG-104-WI.pdf" TargetMode="External"/><Relationship Id="rId259" Type="http://schemas.openxmlformats.org/officeDocument/2006/relationships/hyperlink" Target="https://cookiepdf-v2-assests.s3.ap-south-1.amazonaws.com/NCT+OF+Delhi/NORTH/1+-+NERELA_295/2025-EROLLGEN-U05-1-FinalRoll-Revision1-ENG-259-WI.pdf" TargetMode="External"/><Relationship Id="rId466" Type="http://schemas.openxmlformats.org/officeDocument/2006/relationships/hyperlink" Target="https://cookiepdf-v2-assests.s3.ap-south-1.amazonaws.com/NCT+OF+Delhi/CENTRAL/2+-+BURARI_324/2025-EROLLGEN-U05-2-FinalRoll-Revision1-ENG-171-WI.pdf" TargetMode="External"/><Relationship Id="rId673" Type="http://schemas.openxmlformats.org/officeDocument/2006/relationships/hyperlink" Target="https://cookiepdf-v2-assests.s3.ap-south-1.amazonaws.com/NCT+OF+Delhi/CENTRAL/3+-+TIMARPUR_178/2025-EROLLGEN-U05-3-FinalRoll-Revision1-ENG-70-WI.pdf" TargetMode="External"/><Relationship Id="rId23" Type="http://schemas.openxmlformats.org/officeDocument/2006/relationships/hyperlink" Target="https://cookiepdf-v2-assests.s3.ap-south-1.amazonaws.com/NCT+OF+Delhi/NORTH/1+-+NERELA_295/2025-EROLLGEN-U05-1-FinalRoll-Revision1-ENG-23-WI.pdf" TargetMode="External"/><Relationship Id="rId119" Type="http://schemas.openxmlformats.org/officeDocument/2006/relationships/hyperlink" Target="https://cookiepdf-v2-assests.s3.ap-south-1.amazonaws.com/NCT+OF+Delhi/NORTH/1+-+NERELA_295/2025-EROLLGEN-U05-1-FinalRoll-Revision1-ENG-119-WI.pdf" TargetMode="External"/><Relationship Id="rId326" Type="http://schemas.openxmlformats.org/officeDocument/2006/relationships/hyperlink" Target="https://cookiepdf-v2-assests.s3.ap-south-1.amazonaws.com/NCT+OF+Delhi/CENTRAL/2+-+BURARI_324/2025-EROLLGEN-U05-2-FinalRoll-Revision1-ENG-31-WI.pdf" TargetMode="External"/><Relationship Id="rId533" Type="http://schemas.openxmlformats.org/officeDocument/2006/relationships/hyperlink" Target="https://cookiepdf-v2-assests.s3.ap-south-1.amazonaws.com/NCT+OF+Delhi/CENTRAL/2+-+BURARI_324/2025-EROLLGEN-U05-2-FinalRoll-Revision1-ENG-238-WI.pdf" TargetMode="External"/><Relationship Id="rId740" Type="http://schemas.openxmlformats.org/officeDocument/2006/relationships/hyperlink" Target="https://cookiepdf-v2-assests.s3.ap-south-1.amazonaws.com/NCT+OF+Delhi/CENTRAL/3+-+TIMARPUR_178/2025-EROLLGEN-U05-3-FinalRoll-Revision1-ENG-137-WI.pdf" TargetMode="External"/><Relationship Id="rId172" Type="http://schemas.openxmlformats.org/officeDocument/2006/relationships/hyperlink" Target="https://cookiepdf-v2-assests.s3.ap-south-1.amazonaws.com/NCT+OF+Delhi/NORTH/1+-+NERELA_295/2025-EROLLGEN-U05-1-FinalRoll-Revision1-ENG-172-WI.pdf" TargetMode="External"/><Relationship Id="rId477" Type="http://schemas.openxmlformats.org/officeDocument/2006/relationships/hyperlink" Target="https://cookiepdf-v2-assests.s3.ap-south-1.amazonaws.com/NCT+OF+Delhi/CENTRAL/2+-+BURARI_324/2025-EROLLGEN-U05-2-FinalRoll-Revision1-ENG-182-WI.pdf" TargetMode="External"/><Relationship Id="rId600" Type="http://schemas.openxmlformats.org/officeDocument/2006/relationships/hyperlink" Target="https://cookiepdf-v2-assests.s3.ap-south-1.amazonaws.com/NCT+OF+Delhi/CENTRAL/2+-+BURARI_324/2025-EROLLGEN-U05-2-FinalRoll-Revision1-ENG-305-WI.pdf" TargetMode="External"/><Relationship Id="rId684" Type="http://schemas.openxmlformats.org/officeDocument/2006/relationships/hyperlink" Target="https://cookiepdf-v2-assests.s3.ap-south-1.amazonaws.com/NCT+OF+Delhi/CENTRAL/3+-+TIMARPUR_178/2025-EROLLGEN-U05-3-FinalRoll-Revision1-ENG-81-WI.pdf" TargetMode="External"/><Relationship Id="rId337" Type="http://schemas.openxmlformats.org/officeDocument/2006/relationships/hyperlink" Target="https://cookiepdf-v2-assests.s3.ap-south-1.amazonaws.com/NCT+OF+Delhi/CENTRAL/2+-+BURARI_324/2025-EROLLGEN-U05-2-FinalRoll-Revision1-ENG-42-WI.pdf" TargetMode="External"/><Relationship Id="rId34" Type="http://schemas.openxmlformats.org/officeDocument/2006/relationships/hyperlink" Target="https://cookiepdf-v2-assests.s3.ap-south-1.amazonaws.com/NCT+OF+Delhi/NORTH/1+-+NERELA_295/2025-EROLLGEN-U05-1-FinalRoll-Revision1-ENG-34-WI.pdf" TargetMode="External"/><Relationship Id="rId544" Type="http://schemas.openxmlformats.org/officeDocument/2006/relationships/hyperlink" Target="https://cookiepdf-v2-assests.s3.ap-south-1.amazonaws.com/NCT+OF+Delhi/CENTRAL/2+-+BURARI_324/2025-EROLLGEN-U05-2-FinalRoll-Revision1-ENG-249-WI.pdf" TargetMode="External"/><Relationship Id="rId751" Type="http://schemas.openxmlformats.org/officeDocument/2006/relationships/hyperlink" Target="https://cookiepdf-v2-assests.s3.ap-south-1.amazonaws.com/NCT+OF+Delhi/CENTRAL/3+-+TIMARPUR_178/2025-EROLLGEN-U05-3-FinalRoll-Revision1-ENG-148-WI.pdf" TargetMode="External"/><Relationship Id="rId183" Type="http://schemas.openxmlformats.org/officeDocument/2006/relationships/hyperlink" Target="https://cookiepdf-v2-assests.s3.ap-south-1.amazonaws.com/NCT+OF+Delhi/NORTH/1+-+NERELA_295/2025-EROLLGEN-U05-1-FinalRoll-Revision1-ENG-183-WI.pdf" TargetMode="External"/><Relationship Id="rId390" Type="http://schemas.openxmlformats.org/officeDocument/2006/relationships/hyperlink" Target="https://cookiepdf-v2-assests.s3.ap-south-1.amazonaws.com/NCT+OF+Delhi/CENTRAL/2+-+BURARI_324/2025-EROLLGEN-U05-2-FinalRoll-Revision1-ENG-95-WI.pdf" TargetMode="External"/><Relationship Id="rId404" Type="http://schemas.openxmlformats.org/officeDocument/2006/relationships/hyperlink" Target="https://cookiepdf-v2-assests.s3.ap-south-1.amazonaws.com/NCT+OF+Delhi/CENTRAL/2+-+BURARI_324/2025-EROLLGEN-U05-2-FinalRoll-Revision1-ENG-109-WI.pdf" TargetMode="External"/><Relationship Id="rId611" Type="http://schemas.openxmlformats.org/officeDocument/2006/relationships/hyperlink" Target="https://cookiepdf-v2-assests.s3.ap-south-1.amazonaws.com/NCT+OF+Delhi/CENTRAL/3+-+TIMARPUR_178/2025-EROLLGEN-U05-3-FinalRoll-Revision1-ENG-8-WI.pdf" TargetMode="External"/><Relationship Id="rId250" Type="http://schemas.openxmlformats.org/officeDocument/2006/relationships/hyperlink" Target="https://cookiepdf-v2-assests.s3.ap-south-1.amazonaws.com/NCT+OF+Delhi/NORTH/1+-+NERELA_295/2025-EROLLGEN-U05-1-FinalRoll-Revision1-ENG-250-WI.pdf" TargetMode="External"/><Relationship Id="rId488" Type="http://schemas.openxmlformats.org/officeDocument/2006/relationships/hyperlink" Target="https://cookiepdf-v2-assests.s3.ap-south-1.amazonaws.com/NCT+OF+Delhi/CENTRAL/2+-+BURARI_324/2025-EROLLGEN-U05-2-FinalRoll-Revision1-ENG-193-WI.pdf" TargetMode="External"/><Relationship Id="rId695" Type="http://schemas.openxmlformats.org/officeDocument/2006/relationships/hyperlink" Target="https://cookiepdf-v2-assests.s3.ap-south-1.amazonaws.com/NCT+OF+Delhi/CENTRAL/3+-+TIMARPUR_178/2025-EROLLGEN-U05-3-FinalRoll-Revision1-ENG-92-WI.pdf" TargetMode="External"/><Relationship Id="rId709" Type="http://schemas.openxmlformats.org/officeDocument/2006/relationships/hyperlink" Target="https://cookiepdf-v2-assests.s3.ap-south-1.amazonaws.com/NCT+OF+Delhi/CENTRAL/3+-+TIMARPUR_178/2025-EROLLGEN-U05-3-FinalRoll-Revision1-ENG-106-WI.pdf" TargetMode="External"/><Relationship Id="rId45" Type="http://schemas.openxmlformats.org/officeDocument/2006/relationships/hyperlink" Target="https://cookiepdf-v2-assests.s3.ap-south-1.amazonaws.com/NCT+OF+Delhi/NORTH/1+-+NERELA_295/2025-EROLLGEN-U05-1-FinalRoll-Revision1-ENG-45-WI.pdf" TargetMode="External"/><Relationship Id="rId110" Type="http://schemas.openxmlformats.org/officeDocument/2006/relationships/hyperlink" Target="https://cookiepdf-v2-assests.s3.ap-south-1.amazonaws.com/NCT+OF+Delhi/NORTH/1+-+NERELA_295/2025-EROLLGEN-U05-1-FinalRoll-Revision1-ENG-110-WI.pdf" TargetMode="External"/><Relationship Id="rId348" Type="http://schemas.openxmlformats.org/officeDocument/2006/relationships/hyperlink" Target="https://cookiepdf-v2-assests.s3.ap-south-1.amazonaws.com/NCT+OF+Delhi/CENTRAL/2+-+BURARI_324/2025-EROLLGEN-U05-2-FinalRoll-Revision1-ENG-53-WI.pdf" TargetMode="External"/><Relationship Id="rId555" Type="http://schemas.openxmlformats.org/officeDocument/2006/relationships/hyperlink" Target="https://cookiepdf-v2-assests.s3.ap-south-1.amazonaws.com/NCT+OF+Delhi/CENTRAL/2+-+BURARI_324/2025-EROLLGEN-U05-2-FinalRoll-Revision1-ENG-260-WI.pdf" TargetMode="External"/><Relationship Id="rId762" Type="http://schemas.openxmlformats.org/officeDocument/2006/relationships/hyperlink" Target="https://cookiepdf-v2-assests.s3.ap-south-1.amazonaws.com/NCT+OF+Delhi/CENTRAL/3+-+TIMARPUR_178/2025-EROLLGEN-U05-3-FinalRoll-Revision1-ENG-159-WI.pdf" TargetMode="External"/><Relationship Id="rId194" Type="http://schemas.openxmlformats.org/officeDocument/2006/relationships/hyperlink" Target="https://cookiepdf-v2-assests.s3.ap-south-1.amazonaws.com/NCT+OF+Delhi/NORTH/1+-+NERELA_295/2025-EROLLGEN-U05-1-FinalRoll-Revision1-ENG-194-WI.pdf" TargetMode="External"/><Relationship Id="rId208" Type="http://schemas.openxmlformats.org/officeDocument/2006/relationships/hyperlink" Target="https://cookiepdf-v2-assests.s3.ap-south-1.amazonaws.com/NCT+OF+Delhi/NORTH/1+-+NERELA_295/2025-EROLLGEN-U05-1-FinalRoll-Revision1-ENG-208-WI.pdf" TargetMode="External"/><Relationship Id="rId415" Type="http://schemas.openxmlformats.org/officeDocument/2006/relationships/hyperlink" Target="https://cookiepdf-v2-assests.s3.ap-south-1.amazonaws.com/NCT+OF+Delhi/CENTRAL/2+-+BURARI_324/2025-EROLLGEN-U05-2-FinalRoll-Revision1-ENG-120-WI.pdf" TargetMode="External"/><Relationship Id="rId622" Type="http://schemas.openxmlformats.org/officeDocument/2006/relationships/hyperlink" Target="https://cookiepdf-v2-assests.s3.ap-south-1.amazonaws.com/NCT+OF+Delhi/CENTRAL/3+-+TIMARPUR_178/2025-EROLLGEN-U05-3-FinalRoll-Revision1-ENG-19-WI.pdf" TargetMode="External"/><Relationship Id="rId261" Type="http://schemas.openxmlformats.org/officeDocument/2006/relationships/hyperlink" Target="https://cookiepdf-v2-assests.s3.ap-south-1.amazonaws.com/NCT+OF+Delhi/NORTH/1+-+NERELA_295/2025-EROLLGEN-U05-1-FinalRoll-Revision1-ENG-261-WI.pdf" TargetMode="External"/><Relationship Id="rId499" Type="http://schemas.openxmlformats.org/officeDocument/2006/relationships/hyperlink" Target="https://cookiepdf-v2-assests.s3.ap-south-1.amazonaws.com/NCT+OF+Delhi/CENTRAL/2+-+BURARI_324/2025-EROLLGEN-U05-2-FinalRoll-Revision1-ENG-204-WI.pdf" TargetMode="External"/><Relationship Id="rId56" Type="http://schemas.openxmlformats.org/officeDocument/2006/relationships/hyperlink" Target="https://cookiepdf-v2-assests.s3.ap-south-1.amazonaws.com/NCT+OF+Delhi/NORTH/1+-+NERELA_295/2025-EROLLGEN-U05-1-FinalRoll-Revision1-ENG-56-WI.pdf" TargetMode="External"/><Relationship Id="rId359" Type="http://schemas.openxmlformats.org/officeDocument/2006/relationships/hyperlink" Target="https://cookiepdf-v2-assests.s3.ap-south-1.amazonaws.com/NCT+OF+Delhi/CENTRAL/2+-+BURARI_324/2025-EROLLGEN-U05-2-FinalRoll-Revision1-ENG-64-WI.pdf" TargetMode="External"/><Relationship Id="rId566" Type="http://schemas.openxmlformats.org/officeDocument/2006/relationships/hyperlink" Target="https://cookiepdf-v2-assests.s3.ap-south-1.amazonaws.com/NCT+OF+Delhi/CENTRAL/2+-+BURARI_324/2025-EROLLGEN-U05-2-FinalRoll-Revision1-ENG-271-WI.pdf" TargetMode="External"/><Relationship Id="rId773" Type="http://schemas.openxmlformats.org/officeDocument/2006/relationships/hyperlink" Target="https://cookiepdf-v2-assests.s3.ap-south-1.amazonaws.com/NCT+OF+Delhi/CENTRAL/3+-+TIMARPUR_178/2025-EROLLGEN-U05-3-FinalRoll-Revision1-ENG-170-WI.pdf" TargetMode="External"/><Relationship Id="rId121" Type="http://schemas.openxmlformats.org/officeDocument/2006/relationships/hyperlink" Target="https://cookiepdf-v2-assests.s3.ap-south-1.amazonaws.com/NCT+OF+Delhi/NORTH/1+-+NERELA_295/2025-EROLLGEN-U05-1-FinalRoll-Revision1-ENG-121-WI.pdf" TargetMode="External"/><Relationship Id="rId219" Type="http://schemas.openxmlformats.org/officeDocument/2006/relationships/hyperlink" Target="https://cookiepdf-v2-assests.s3.ap-south-1.amazonaws.com/NCT+OF+Delhi/NORTH/1+-+NERELA_295/2025-EROLLGEN-U05-1-FinalRoll-Revision1-ENG-219-WI.pdf" TargetMode="External"/><Relationship Id="rId426" Type="http://schemas.openxmlformats.org/officeDocument/2006/relationships/hyperlink" Target="https://cookiepdf-v2-assests.s3.ap-south-1.amazonaws.com/NCT+OF+Delhi/CENTRAL/2+-+BURARI_324/2025-EROLLGEN-U05-2-FinalRoll-Revision1-ENG-131-WI.pdf" TargetMode="External"/><Relationship Id="rId633" Type="http://schemas.openxmlformats.org/officeDocument/2006/relationships/hyperlink" Target="https://cookiepdf-v2-assests.s3.ap-south-1.amazonaws.com/NCT+OF+Delhi/CENTRAL/3+-+TIMARPUR_178/2025-EROLLGEN-U05-3-FinalRoll-Revision1-ENG-30-WI.pdf" TargetMode="External"/><Relationship Id="rId67" Type="http://schemas.openxmlformats.org/officeDocument/2006/relationships/hyperlink" Target="https://cookiepdf-v2-assests.s3.ap-south-1.amazonaws.com/NCT+OF+Delhi/NORTH/1+-+NERELA_295/2025-EROLLGEN-U05-1-FinalRoll-Revision1-ENG-67-WI.pdf" TargetMode="External"/><Relationship Id="rId272" Type="http://schemas.openxmlformats.org/officeDocument/2006/relationships/hyperlink" Target="https://cookiepdf-v2-assests.s3.ap-south-1.amazonaws.com/NCT+OF+Delhi/NORTH/1+-+NERELA_295/2025-EROLLGEN-U05-1-FinalRoll-Revision1-ENG-272-WI.pdf" TargetMode="External"/><Relationship Id="rId577" Type="http://schemas.openxmlformats.org/officeDocument/2006/relationships/hyperlink" Target="https://cookiepdf-v2-assests.s3.ap-south-1.amazonaws.com/NCT+OF+Delhi/CENTRAL/2+-+BURARI_324/2025-EROLLGEN-U05-2-FinalRoll-Revision1-ENG-282-WI.pdf" TargetMode="External"/><Relationship Id="rId700" Type="http://schemas.openxmlformats.org/officeDocument/2006/relationships/hyperlink" Target="https://cookiepdf-v2-assests.s3.ap-south-1.amazonaws.com/NCT+OF+Delhi/CENTRAL/3+-+TIMARPUR_178/2025-EROLLGEN-U05-3-FinalRoll-Revision1-ENG-97-WI.pdf" TargetMode="External"/><Relationship Id="rId132" Type="http://schemas.openxmlformats.org/officeDocument/2006/relationships/hyperlink" Target="https://cookiepdf-v2-assests.s3.ap-south-1.amazonaws.com/NCT+OF+Delhi/NORTH/1+-+NERELA_295/2025-EROLLGEN-U05-1-FinalRoll-Revision1-ENG-132-WI.pdf" TargetMode="External"/><Relationship Id="rId437" Type="http://schemas.openxmlformats.org/officeDocument/2006/relationships/hyperlink" Target="https://cookiepdf-v2-assests.s3.ap-south-1.amazonaws.com/NCT+OF+Delhi/CENTRAL/2+-+BURARI_324/2025-EROLLGEN-U05-2-FinalRoll-Revision1-ENG-142-WI.pdf" TargetMode="External"/><Relationship Id="rId644" Type="http://schemas.openxmlformats.org/officeDocument/2006/relationships/hyperlink" Target="https://cookiepdf-v2-assests.s3.ap-south-1.amazonaws.com/NCT+OF+Delhi/CENTRAL/3+-+TIMARPUR_178/2025-EROLLGEN-U05-3-FinalRoll-Revision1-ENG-41-WI.pdf" TargetMode="External"/><Relationship Id="rId283" Type="http://schemas.openxmlformats.org/officeDocument/2006/relationships/hyperlink" Target="https://cookiepdf-v2-assests.s3.ap-south-1.amazonaws.com/NCT+OF+Delhi/NORTH/1+-+NERELA_295/2025-EROLLGEN-U05-1-FinalRoll-Revision1-ENG-283-WI.pdf" TargetMode="External"/><Relationship Id="rId490" Type="http://schemas.openxmlformats.org/officeDocument/2006/relationships/hyperlink" Target="https://cookiepdf-v2-assests.s3.ap-south-1.amazonaws.com/NCT+OF+Delhi/CENTRAL/2+-+BURARI_324/2025-EROLLGEN-U05-2-FinalRoll-Revision1-ENG-195-WI.pdf" TargetMode="External"/><Relationship Id="rId504" Type="http://schemas.openxmlformats.org/officeDocument/2006/relationships/hyperlink" Target="https://cookiepdf-v2-assests.s3.ap-south-1.amazonaws.com/NCT+OF+Delhi/CENTRAL/2+-+BURARI_324/2025-EROLLGEN-U05-2-FinalRoll-Revision1-ENG-209-WI.pdf" TargetMode="External"/><Relationship Id="rId711" Type="http://schemas.openxmlformats.org/officeDocument/2006/relationships/hyperlink" Target="https://cookiepdf-v2-assests.s3.ap-south-1.amazonaws.com/NCT+OF+Delhi/CENTRAL/3+-+TIMARPUR_178/2025-EROLLGEN-U05-3-FinalRoll-Revision1-ENG-108-WI.pdf" TargetMode="External"/><Relationship Id="rId78" Type="http://schemas.openxmlformats.org/officeDocument/2006/relationships/hyperlink" Target="https://cookiepdf-v2-assests.s3.ap-south-1.amazonaws.com/NCT+OF+Delhi/NORTH/1+-+NERELA_295/2025-EROLLGEN-U05-1-FinalRoll-Revision1-ENG-78-WI.pdf" TargetMode="External"/><Relationship Id="rId143" Type="http://schemas.openxmlformats.org/officeDocument/2006/relationships/hyperlink" Target="https://cookiepdf-v2-assests.s3.ap-south-1.amazonaws.com/NCT+OF+Delhi/NORTH/1+-+NERELA_295/2025-EROLLGEN-U05-1-FinalRoll-Revision1-ENG-143-WI.pdf" TargetMode="External"/><Relationship Id="rId350" Type="http://schemas.openxmlformats.org/officeDocument/2006/relationships/hyperlink" Target="https://cookiepdf-v2-assests.s3.ap-south-1.amazonaws.com/NCT+OF+Delhi/CENTRAL/2+-+BURARI_324/2025-EROLLGEN-U05-2-FinalRoll-Revision1-ENG-55-WI.pdf" TargetMode="External"/><Relationship Id="rId588" Type="http://schemas.openxmlformats.org/officeDocument/2006/relationships/hyperlink" Target="https://cookiepdf-v2-assests.s3.ap-south-1.amazonaws.com/NCT+OF+Delhi/CENTRAL/2+-+BURARI_324/2025-EROLLGEN-U05-2-FinalRoll-Revision1-ENG-293-WI.pdf" TargetMode="External"/><Relationship Id="rId9" Type="http://schemas.openxmlformats.org/officeDocument/2006/relationships/hyperlink" Target="https://cookiepdf-v2-assests.s3.ap-south-1.amazonaws.com/NCT+OF+Delhi/NORTH/1+-+NERELA_295/2025-EROLLGEN-U05-1-FinalRoll-Revision1-ENG-9-WI.pdf" TargetMode="External"/><Relationship Id="rId210" Type="http://schemas.openxmlformats.org/officeDocument/2006/relationships/hyperlink" Target="https://cookiepdf-v2-assests.s3.ap-south-1.amazonaws.com/NCT+OF+Delhi/NORTH/1+-+NERELA_295/2025-EROLLGEN-U05-1-FinalRoll-Revision1-ENG-210-WI.pdf" TargetMode="External"/><Relationship Id="rId448" Type="http://schemas.openxmlformats.org/officeDocument/2006/relationships/hyperlink" Target="https://cookiepdf-v2-assests.s3.ap-south-1.amazonaws.com/NCT+OF+Delhi/CENTRAL/2+-+BURARI_324/2025-EROLLGEN-U05-2-FinalRoll-Revision1-ENG-153-WI.pdf" TargetMode="External"/><Relationship Id="rId655" Type="http://schemas.openxmlformats.org/officeDocument/2006/relationships/hyperlink" Target="https://cookiepdf-v2-assests.s3.ap-south-1.amazonaws.com/NCT+OF+Delhi/CENTRAL/3+-+TIMARPUR_178/2025-EROLLGEN-U05-3-FinalRoll-Revision1-ENG-52-WI.pdf" TargetMode="External"/><Relationship Id="rId294" Type="http://schemas.openxmlformats.org/officeDocument/2006/relationships/hyperlink" Target="https://cookiepdf-v2-assests.s3.ap-south-1.amazonaws.com/NCT+OF+Delhi/NORTH/1+-+NERELA_295/2025-EROLLGEN-U05-1-FinalRoll-Revision1-ENG-294-WI.pdf" TargetMode="External"/><Relationship Id="rId308" Type="http://schemas.openxmlformats.org/officeDocument/2006/relationships/hyperlink" Target="https://cookiepdf-v2-assests.s3.ap-south-1.amazonaws.com/NCT+OF+Delhi/CENTRAL/2+-+BURARI_324/2025-EROLLGEN-U05-2-FinalRoll-Revision1-ENG-13-WI.pdf" TargetMode="External"/><Relationship Id="rId515" Type="http://schemas.openxmlformats.org/officeDocument/2006/relationships/hyperlink" Target="https://cookiepdf-v2-assests.s3.ap-south-1.amazonaws.com/NCT+OF+Delhi/CENTRAL/2+-+BURARI_324/2025-EROLLGEN-U05-2-FinalRoll-Revision1-ENG-220-WI.pdf" TargetMode="External"/><Relationship Id="rId722" Type="http://schemas.openxmlformats.org/officeDocument/2006/relationships/hyperlink" Target="https://cookiepdf-v2-assests.s3.ap-south-1.amazonaws.com/NCT+OF+Delhi/CENTRAL/3+-+TIMARPUR_178/2025-EROLLGEN-U05-3-FinalRoll-Revision1-ENG-119-WI.pdf" TargetMode="External"/><Relationship Id="rId89" Type="http://schemas.openxmlformats.org/officeDocument/2006/relationships/hyperlink" Target="https://cookiepdf-v2-assests.s3.ap-south-1.amazonaws.com/NCT+OF+Delhi/NORTH/1+-+NERELA_295/2025-EROLLGEN-U05-1-FinalRoll-Revision1-ENG-89-WI.pdf" TargetMode="External"/><Relationship Id="rId154" Type="http://schemas.openxmlformats.org/officeDocument/2006/relationships/hyperlink" Target="https://cookiepdf-v2-assests.s3.ap-south-1.amazonaws.com/NCT+OF+Delhi/NORTH/1+-+NERELA_295/2025-EROLLGEN-U05-1-FinalRoll-Revision1-ENG-154-WI.pdf" TargetMode="External"/><Relationship Id="rId361" Type="http://schemas.openxmlformats.org/officeDocument/2006/relationships/hyperlink" Target="https://cookiepdf-v2-assests.s3.ap-south-1.amazonaws.com/NCT+OF+Delhi/CENTRAL/2+-+BURARI_324/2025-EROLLGEN-U05-2-FinalRoll-Revision1-ENG-66-WI.pdf" TargetMode="External"/><Relationship Id="rId599" Type="http://schemas.openxmlformats.org/officeDocument/2006/relationships/hyperlink" Target="https://cookiepdf-v2-assests.s3.ap-south-1.amazonaws.com/NCT+OF+Delhi/CENTRAL/2+-+BURARI_324/2025-EROLLGEN-U05-2-FinalRoll-Revision1-ENG-304-WI.pdf" TargetMode="External"/><Relationship Id="rId459" Type="http://schemas.openxmlformats.org/officeDocument/2006/relationships/hyperlink" Target="https://cookiepdf-v2-assests.s3.ap-south-1.amazonaws.com/NCT+OF+Delhi/CENTRAL/2+-+BURARI_324/2025-EROLLGEN-U05-2-FinalRoll-Revision1-ENG-164-WI.pdf" TargetMode="External"/><Relationship Id="rId666" Type="http://schemas.openxmlformats.org/officeDocument/2006/relationships/hyperlink" Target="https://cookiepdf-v2-assests.s3.ap-south-1.amazonaws.com/NCT+OF+Delhi/CENTRAL/3+-+TIMARPUR_178/2025-EROLLGEN-U05-3-FinalRoll-Revision1-ENG-63-WI.pdf" TargetMode="External"/><Relationship Id="rId16" Type="http://schemas.openxmlformats.org/officeDocument/2006/relationships/hyperlink" Target="https://cookiepdf-v2-assests.s3.ap-south-1.amazonaws.com/NCT+OF+Delhi/NORTH/1+-+NERELA_295/2025-EROLLGEN-U05-1-FinalRoll-Revision1-ENG-16-WI.pdf" TargetMode="External"/><Relationship Id="rId221" Type="http://schemas.openxmlformats.org/officeDocument/2006/relationships/hyperlink" Target="https://cookiepdf-v2-assests.s3.ap-south-1.amazonaws.com/NCT+OF+Delhi/NORTH/1+-+NERELA_295/2025-EROLLGEN-U05-1-FinalRoll-Revision1-ENG-221-WI.pdf" TargetMode="External"/><Relationship Id="rId319" Type="http://schemas.openxmlformats.org/officeDocument/2006/relationships/hyperlink" Target="https://cookiepdf-v2-assests.s3.ap-south-1.amazonaws.com/NCT+OF+Delhi/CENTRAL/2+-+BURARI_324/2025-EROLLGEN-U05-2-FinalRoll-Revision1-ENG-24-WI.pdf" TargetMode="External"/><Relationship Id="rId526" Type="http://schemas.openxmlformats.org/officeDocument/2006/relationships/hyperlink" Target="https://cookiepdf-v2-assests.s3.ap-south-1.amazonaws.com/NCT+OF+Delhi/CENTRAL/2+-+BURARI_324/2025-EROLLGEN-U05-2-FinalRoll-Revision1-ENG-231-WI.pdf" TargetMode="External"/><Relationship Id="rId733" Type="http://schemas.openxmlformats.org/officeDocument/2006/relationships/hyperlink" Target="https://cookiepdf-v2-assests.s3.ap-south-1.amazonaws.com/NCT+OF+Delhi/CENTRAL/3+-+TIMARPUR_178/2025-EROLLGEN-U05-3-FinalRoll-Revision1-ENG-130-WI.pdf" TargetMode="External"/><Relationship Id="rId165" Type="http://schemas.openxmlformats.org/officeDocument/2006/relationships/hyperlink" Target="https://cookiepdf-v2-assests.s3.ap-south-1.amazonaws.com/NCT+OF+Delhi/NORTH/1+-+NERELA_295/2025-EROLLGEN-U05-1-FinalRoll-Revision1-ENG-165-WI.pdf" TargetMode="External"/><Relationship Id="rId372" Type="http://schemas.openxmlformats.org/officeDocument/2006/relationships/hyperlink" Target="https://cookiepdf-v2-assests.s3.ap-south-1.amazonaws.com/NCT+OF+Delhi/CENTRAL/2+-+BURARI_324/2025-EROLLGEN-U05-2-FinalRoll-Revision1-ENG-77-WI.pdf" TargetMode="External"/><Relationship Id="rId677" Type="http://schemas.openxmlformats.org/officeDocument/2006/relationships/hyperlink" Target="https://cookiepdf-v2-assests.s3.ap-south-1.amazonaws.com/NCT+OF+Delhi/CENTRAL/3+-+TIMARPUR_178/2025-EROLLGEN-U05-3-FinalRoll-Revision1-ENG-74-WI.pdf" TargetMode="External"/><Relationship Id="rId232" Type="http://schemas.openxmlformats.org/officeDocument/2006/relationships/hyperlink" Target="https://cookiepdf-v2-assests.s3.ap-south-1.amazonaws.com/NCT+OF+Delhi/NORTH/1+-+NERELA_295/2025-EROLLGEN-U05-1-FinalRoll-Revision1-ENG-232-WI.pdf" TargetMode="External"/><Relationship Id="rId27" Type="http://schemas.openxmlformats.org/officeDocument/2006/relationships/hyperlink" Target="https://cookiepdf-v2-assests.s3.ap-south-1.amazonaws.com/NCT+OF+Delhi/NORTH/1+-+NERELA_295/2025-EROLLGEN-U05-1-FinalRoll-Revision1-ENG-27-WI.pdf" TargetMode="External"/><Relationship Id="rId537" Type="http://schemas.openxmlformats.org/officeDocument/2006/relationships/hyperlink" Target="https://cookiepdf-v2-assests.s3.ap-south-1.amazonaws.com/NCT+OF+Delhi/CENTRAL/2+-+BURARI_324/2025-EROLLGEN-U05-2-FinalRoll-Revision1-ENG-242-WI.pdf" TargetMode="External"/><Relationship Id="rId744" Type="http://schemas.openxmlformats.org/officeDocument/2006/relationships/hyperlink" Target="https://cookiepdf-v2-assests.s3.ap-south-1.amazonaws.com/NCT+OF+Delhi/CENTRAL/3+-+TIMARPUR_178/2025-EROLLGEN-U05-3-FinalRoll-Revision1-ENG-141-WI.pdf" TargetMode="External"/><Relationship Id="rId80" Type="http://schemas.openxmlformats.org/officeDocument/2006/relationships/hyperlink" Target="https://cookiepdf-v2-assests.s3.ap-south-1.amazonaws.com/NCT+OF+Delhi/NORTH/1+-+NERELA_295/2025-EROLLGEN-U05-1-FinalRoll-Revision1-ENG-80-WI.pdf" TargetMode="External"/><Relationship Id="rId176" Type="http://schemas.openxmlformats.org/officeDocument/2006/relationships/hyperlink" Target="https://cookiepdf-v2-assests.s3.ap-south-1.amazonaws.com/NCT+OF+Delhi/NORTH/1+-+NERELA_295/2025-EROLLGEN-U05-1-FinalRoll-Revision1-ENG-176-WI.pdf" TargetMode="External"/><Relationship Id="rId383" Type="http://schemas.openxmlformats.org/officeDocument/2006/relationships/hyperlink" Target="https://cookiepdf-v2-assests.s3.ap-south-1.amazonaws.com/NCT+OF+Delhi/CENTRAL/2+-+BURARI_324/2025-EROLLGEN-U05-2-FinalRoll-Revision1-ENG-88-WI.pdf" TargetMode="External"/><Relationship Id="rId590" Type="http://schemas.openxmlformats.org/officeDocument/2006/relationships/hyperlink" Target="https://cookiepdf-v2-assests.s3.ap-south-1.amazonaws.com/NCT+OF+Delhi/CENTRAL/2+-+BURARI_324/2025-EROLLGEN-U05-2-FinalRoll-Revision1-ENG-295-WI.pdf" TargetMode="External"/><Relationship Id="rId604" Type="http://schemas.openxmlformats.org/officeDocument/2006/relationships/hyperlink" Target="https://cookiepdf-v2-assests.s3.ap-south-1.amazonaws.com/NCT+OF+Delhi/CENTRAL/3+-+TIMARPUR_178/2025-EROLLGEN-U05-3-FinalRoll-Revision1-ENG-1-WI.pdf" TargetMode="External"/><Relationship Id="rId243" Type="http://schemas.openxmlformats.org/officeDocument/2006/relationships/hyperlink" Target="https://cookiepdf-v2-assests.s3.ap-south-1.amazonaws.com/NCT+OF+Delhi/NORTH/1+-+NERELA_295/2025-EROLLGEN-U05-1-FinalRoll-Revision1-ENG-243-WI.pdf" TargetMode="External"/><Relationship Id="rId450" Type="http://schemas.openxmlformats.org/officeDocument/2006/relationships/hyperlink" Target="https://cookiepdf-v2-assests.s3.ap-south-1.amazonaws.com/NCT+OF+Delhi/CENTRAL/2+-+BURARI_324/2025-EROLLGEN-U05-2-FinalRoll-Revision1-ENG-155-WI.pdf" TargetMode="External"/><Relationship Id="rId688" Type="http://schemas.openxmlformats.org/officeDocument/2006/relationships/hyperlink" Target="https://cookiepdf-v2-assests.s3.ap-south-1.amazonaws.com/NCT+OF+Delhi/CENTRAL/3+-+TIMARPUR_178/2025-EROLLGEN-U05-3-FinalRoll-Revision1-ENG-85-WI.pdf" TargetMode="External"/><Relationship Id="rId38" Type="http://schemas.openxmlformats.org/officeDocument/2006/relationships/hyperlink" Target="https://cookiepdf-v2-assests.s3.ap-south-1.amazonaws.com/NCT+OF+Delhi/NORTH/1+-+NERELA_295/2025-EROLLGEN-U05-1-FinalRoll-Revision1-ENG-38-WI.pdf" TargetMode="External"/><Relationship Id="rId103" Type="http://schemas.openxmlformats.org/officeDocument/2006/relationships/hyperlink" Target="https://cookiepdf-v2-assests.s3.ap-south-1.amazonaws.com/NCT+OF+Delhi/NORTH/1+-+NERELA_295/2025-EROLLGEN-U05-1-FinalRoll-Revision1-ENG-103-WI.pdf" TargetMode="External"/><Relationship Id="rId310" Type="http://schemas.openxmlformats.org/officeDocument/2006/relationships/hyperlink" Target="https://cookiepdf-v2-assests.s3.ap-south-1.amazonaws.com/NCT+OF+Delhi/CENTRAL/2+-+BURARI_324/2025-EROLLGEN-U05-2-FinalRoll-Revision1-ENG-15-WI.pdf" TargetMode="External"/><Relationship Id="rId548" Type="http://schemas.openxmlformats.org/officeDocument/2006/relationships/hyperlink" Target="https://cookiepdf-v2-assests.s3.ap-south-1.amazonaws.com/NCT+OF+Delhi/CENTRAL/2+-+BURARI_324/2025-EROLLGEN-U05-2-FinalRoll-Revision1-ENG-253-WI.pdf" TargetMode="External"/><Relationship Id="rId755" Type="http://schemas.openxmlformats.org/officeDocument/2006/relationships/hyperlink" Target="https://cookiepdf-v2-assests.s3.ap-south-1.amazonaws.com/NCT+OF+Delhi/CENTRAL/3+-+TIMARPUR_178/2025-EROLLGEN-U05-3-FinalRoll-Revision1-ENG-152-WI.pdf" TargetMode="External"/><Relationship Id="rId91" Type="http://schemas.openxmlformats.org/officeDocument/2006/relationships/hyperlink" Target="https://cookiepdf-v2-assests.s3.ap-south-1.amazonaws.com/NCT+OF+Delhi/NORTH/1+-+NERELA_295/2025-EROLLGEN-U05-1-FinalRoll-Revision1-ENG-91-WI.pdf" TargetMode="External"/><Relationship Id="rId187" Type="http://schemas.openxmlformats.org/officeDocument/2006/relationships/hyperlink" Target="https://cookiepdf-v2-assests.s3.ap-south-1.amazonaws.com/NCT+OF+Delhi/NORTH/1+-+NERELA_295/2025-EROLLGEN-U05-1-FinalRoll-Revision1-ENG-187-WI.pdf" TargetMode="External"/><Relationship Id="rId394" Type="http://schemas.openxmlformats.org/officeDocument/2006/relationships/hyperlink" Target="https://cookiepdf-v2-assests.s3.ap-south-1.amazonaws.com/NCT+OF+Delhi/CENTRAL/2+-+BURARI_324/2025-EROLLGEN-U05-2-FinalRoll-Revision1-ENG-99-WI.pdf" TargetMode="External"/><Relationship Id="rId408" Type="http://schemas.openxmlformats.org/officeDocument/2006/relationships/hyperlink" Target="https://cookiepdf-v2-assests.s3.ap-south-1.amazonaws.com/NCT+OF+Delhi/CENTRAL/2+-+BURARI_324/2025-EROLLGEN-U05-2-FinalRoll-Revision1-ENG-113-WI.pdf" TargetMode="External"/><Relationship Id="rId615" Type="http://schemas.openxmlformats.org/officeDocument/2006/relationships/hyperlink" Target="https://cookiepdf-v2-assests.s3.ap-south-1.amazonaws.com/NCT+OF+Delhi/CENTRAL/3+-+TIMARPUR_178/2025-EROLLGEN-U05-3-FinalRoll-Revision1-ENG-12-WI.pdf" TargetMode="External"/><Relationship Id="rId254" Type="http://schemas.openxmlformats.org/officeDocument/2006/relationships/hyperlink" Target="https://cookiepdf-v2-assests.s3.ap-south-1.amazonaws.com/NCT+OF+Delhi/NORTH/1+-+NERELA_295/2025-EROLLGEN-U05-1-FinalRoll-Revision1-ENG-254-WI.pdf" TargetMode="External"/><Relationship Id="rId699" Type="http://schemas.openxmlformats.org/officeDocument/2006/relationships/hyperlink" Target="https://cookiepdf-v2-assests.s3.ap-south-1.amazonaws.com/NCT+OF+Delhi/CENTRAL/3+-+TIMARPUR_178/2025-EROLLGEN-U05-3-FinalRoll-Revision1-ENG-96-WI.pdf" TargetMode="External"/><Relationship Id="rId49" Type="http://schemas.openxmlformats.org/officeDocument/2006/relationships/hyperlink" Target="https://cookiepdf-v2-assests.s3.ap-south-1.amazonaws.com/NCT+OF+Delhi/NORTH/1+-+NERELA_295/2025-EROLLGEN-U05-1-FinalRoll-Revision1-ENG-49-WI.pdf" TargetMode="External"/><Relationship Id="rId114" Type="http://schemas.openxmlformats.org/officeDocument/2006/relationships/hyperlink" Target="https://cookiepdf-v2-assests.s3.ap-south-1.amazonaws.com/NCT+OF+Delhi/NORTH/1+-+NERELA_295/2025-EROLLGEN-U05-1-FinalRoll-Revision1-ENG-114-WI.pdf" TargetMode="External"/><Relationship Id="rId461" Type="http://schemas.openxmlformats.org/officeDocument/2006/relationships/hyperlink" Target="https://cookiepdf-v2-assests.s3.ap-south-1.amazonaws.com/NCT+OF+Delhi/CENTRAL/2+-+BURARI_324/2025-EROLLGEN-U05-2-FinalRoll-Revision1-ENG-166-WI.pdf" TargetMode="External"/><Relationship Id="rId559" Type="http://schemas.openxmlformats.org/officeDocument/2006/relationships/hyperlink" Target="https://cookiepdf-v2-assests.s3.ap-south-1.amazonaws.com/NCT+OF+Delhi/CENTRAL/2+-+BURARI_324/2025-EROLLGEN-U05-2-FinalRoll-Revision1-ENG-264-WI.pdf" TargetMode="External"/><Relationship Id="rId766" Type="http://schemas.openxmlformats.org/officeDocument/2006/relationships/hyperlink" Target="https://cookiepdf-v2-assests.s3.ap-south-1.amazonaws.com/NCT+OF+Delhi/CENTRAL/3+-+TIMARPUR_178/2025-EROLLGEN-U05-3-FinalRoll-Revision1-ENG-163-WI.pdf" TargetMode="External"/><Relationship Id="rId198" Type="http://schemas.openxmlformats.org/officeDocument/2006/relationships/hyperlink" Target="https://cookiepdf-v2-assests.s3.ap-south-1.amazonaws.com/NCT+OF+Delhi/NORTH/1+-+NERELA_295/2025-EROLLGEN-U05-1-FinalRoll-Revision1-ENG-198-WI.pdf" TargetMode="External"/><Relationship Id="rId321" Type="http://schemas.openxmlformats.org/officeDocument/2006/relationships/hyperlink" Target="https://cookiepdf-v2-assests.s3.ap-south-1.amazonaws.com/NCT+OF+Delhi/CENTRAL/2+-+BURARI_324/2025-EROLLGEN-U05-2-FinalRoll-Revision1-ENG-26-WI.pdf" TargetMode="External"/><Relationship Id="rId419" Type="http://schemas.openxmlformats.org/officeDocument/2006/relationships/hyperlink" Target="https://cookiepdf-v2-assests.s3.ap-south-1.amazonaws.com/NCT+OF+Delhi/CENTRAL/2+-+BURARI_324/2025-EROLLGEN-U05-2-FinalRoll-Revision1-ENG-124-WI.pdf" TargetMode="External"/><Relationship Id="rId626" Type="http://schemas.openxmlformats.org/officeDocument/2006/relationships/hyperlink" Target="https://cookiepdf-v2-assests.s3.ap-south-1.amazonaws.com/NCT+OF+Delhi/CENTRAL/3+-+TIMARPUR_178/2025-EROLLGEN-U05-3-FinalRoll-Revision1-ENG-23-WI.pdf" TargetMode="External"/><Relationship Id="rId265" Type="http://schemas.openxmlformats.org/officeDocument/2006/relationships/hyperlink" Target="https://cookiepdf-v2-assests.s3.ap-south-1.amazonaws.com/NCT+OF+Delhi/NORTH/1+-+NERELA_295/2025-EROLLGEN-U05-1-FinalRoll-Revision1-ENG-265-WI.pdf" TargetMode="External"/><Relationship Id="rId472" Type="http://schemas.openxmlformats.org/officeDocument/2006/relationships/hyperlink" Target="https://cookiepdf-v2-assests.s3.ap-south-1.amazonaws.com/NCT+OF+Delhi/CENTRAL/2+-+BURARI_324/2025-EROLLGEN-U05-2-FinalRoll-Revision1-ENG-177-WI.pdf" TargetMode="External"/><Relationship Id="rId125" Type="http://schemas.openxmlformats.org/officeDocument/2006/relationships/hyperlink" Target="https://cookiepdf-v2-assests.s3.ap-south-1.amazonaws.com/NCT+OF+Delhi/NORTH/1+-+NERELA_295/2025-EROLLGEN-U05-1-FinalRoll-Revision1-ENG-125-WI.pdf" TargetMode="External"/><Relationship Id="rId332" Type="http://schemas.openxmlformats.org/officeDocument/2006/relationships/hyperlink" Target="https://cookiepdf-v2-assests.s3.ap-south-1.amazonaws.com/NCT+OF+Delhi/CENTRAL/2+-+BURARI_324/2025-EROLLGEN-U05-2-FinalRoll-Revision1-ENG-37-WI.pdf" TargetMode="External"/><Relationship Id="rId777" Type="http://schemas.openxmlformats.org/officeDocument/2006/relationships/hyperlink" Target="https://cookiepdf-v2-assests.s3.ap-south-1.amazonaws.com/NCT+OF+Delhi/CENTRAL/3+-+TIMARPUR_178/2025-EROLLGEN-U05-3-FinalRoll-Revision1-ENG-174-WI.pdf" TargetMode="External"/><Relationship Id="rId637" Type="http://schemas.openxmlformats.org/officeDocument/2006/relationships/hyperlink" Target="https://cookiepdf-v2-assests.s3.ap-south-1.amazonaws.com/NCT+OF+Delhi/CENTRAL/3+-+TIMARPUR_178/2025-EROLLGEN-U05-3-FinalRoll-Revision1-ENG-34-WI.pdf" TargetMode="External"/><Relationship Id="rId276" Type="http://schemas.openxmlformats.org/officeDocument/2006/relationships/hyperlink" Target="https://cookiepdf-v2-assests.s3.ap-south-1.amazonaws.com/NCT+OF+Delhi/NORTH/1+-+NERELA_295/2025-EROLLGEN-U05-1-FinalRoll-Revision1-ENG-276-WI.pdf" TargetMode="External"/><Relationship Id="rId483" Type="http://schemas.openxmlformats.org/officeDocument/2006/relationships/hyperlink" Target="https://cookiepdf-v2-assests.s3.ap-south-1.amazonaws.com/NCT+OF+Delhi/CENTRAL/2+-+BURARI_324/2025-EROLLGEN-U05-2-FinalRoll-Revision1-ENG-188-WI.pdf" TargetMode="External"/><Relationship Id="rId690" Type="http://schemas.openxmlformats.org/officeDocument/2006/relationships/hyperlink" Target="https://cookiepdf-v2-assests.s3.ap-south-1.amazonaws.com/NCT+OF+Delhi/CENTRAL/3+-+TIMARPUR_178/2025-EROLLGEN-U05-3-FinalRoll-Revision1-ENG-87-WI.pdf" TargetMode="External"/><Relationship Id="rId704" Type="http://schemas.openxmlformats.org/officeDocument/2006/relationships/hyperlink" Target="https://cookiepdf-v2-assests.s3.ap-south-1.amazonaws.com/NCT+OF+Delhi/CENTRAL/3+-+TIMARPUR_178/2025-EROLLGEN-U05-3-FinalRoll-Revision1-ENG-101-WI.pdf" TargetMode="External"/><Relationship Id="rId40" Type="http://schemas.openxmlformats.org/officeDocument/2006/relationships/hyperlink" Target="https://cookiepdf-v2-assests.s3.ap-south-1.amazonaws.com/NCT+OF+Delhi/NORTH/1+-+NERELA_295/2025-EROLLGEN-U05-1-FinalRoll-Revision1-ENG-40-WI.pdf" TargetMode="External"/><Relationship Id="rId136" Type="http://schemas.openxmlformats.org/officeDocument/2006/relationships/hyperlink" Target="https://cookiepdf-v2-assests.s3.ap-south-1.amazonaws.com/NCT+OF+Delhi/NORTH/1+-+NERELA_295/2025-EROLLGEN-U05-1-FinalRoll-Revision1-ENG-136-WI.pdf" TargetMode="External"/><Relationship Id="rId343" Type="http://schemas.openxmlformats.org/officeDocument/2006/relationships/hyperlink" Target="https://cookiepdf-v2-assests.s3.ap-south-1.amazonaws.com/NCT+OF+Delhi/CENTRAL/2+-+BURARI_324/2025-EROLLGEN-U05-2-FinalRoll-Revision1-ENG-48-WI.pdf" TargetMode="External"/><Relationship Id="rId550" Type="http://schemas.openxmlformats.org/officeDocument/2006/relationships/hyperlink" Target="https://cookiepdf-v2-assests.s3.ap-south-1.amazonaws.com/NCT+OF+Delhi/CENTRAL/2+-+BURARI_324/2025-EROLLGEN-U05-2-FinalRoll-Revision1-ENG-255-WI.pdf" TargetMode="External"/><Relationship Id="rId203" Type="http://schemas.openxmlformats.org/officeDocument/2006/relationships/hyperlink" Target="https://cookiepdf-v2-assests.s3.ap-south-1.amazonaws.com/NCT+OF+Delhi/NORTH/1+-+NERELA_295/2025-EROLLGEN-U05-1-FinalRoll-Revision1-ENG-203-WI.pdf" TargetMode="External"/><Relationship Id="rId648" Type="http://schemas.openxmlformats.org/officeDocument/2006/relationships/hyperlink" Target="https://cookiepdf-v2-assests.s3.ap-south-1.amazonaws.com/NCT+OF+Delhi/CENTRAL/3+-+TIMARPUR_178/2025-EROLLGEN-U05-3-FinalRoll-Revision1-ENG-45-WI.pdf" TargetMode="External"/><Relationship Id="rId287" Type="http://schemas.openxmlformats.org/officeDocument/2006/relationships/hyperlink" Target="https://cookiepdf-v2-assests.s3.ap-south-1.amazonaws.com/NCT+OF+Delhi/NORTH/1+-+NERELA_295/2025-EROLLGEN-U05-1-FinalRoll-Revision1-ENG-287-WI.pdf" TargetMode="External"/><Relationship Id="rId410" Type="http://schemas.openxmlformats.org/officeDocument/2006/relationships/hyperlink" Target="https://cookiepdf-v2-assests.s3.ap-south-1.amazonaws.com/NCT+OF+Delhi/CENTRAL/2+-+BURARI_324/2025-EROLLGEN-U05-2-FinalRoll-Revision1-ENG-115-WI.pdf" TargetMode="External"/><Relationship Id="rId494" Type="http://schemas.openxmlformats.org/officeDocument/2006/relationships/hyperlink" Target="https://cookiepdf-v2-assests.s3.ap-south-1.amazonaws.com/NCT+OF+Delhi/CENTRAL/2+-+BURARI_324/2025-EROLLGEN-U05-2-FinalRoll-Revision1-ENG-199-WI.pdf" TargetMode="External"/><Relationship Id="rId508" Type="http://schemas.openxmlformats.org/officeDocument/2006/relationships/hyperlink" Target="https://cookiepdf-v2-assests.s3.ap-south-1.amazonaws.com/NCT+OF+Delhi/CENTRAL/2+-+BURARI_324/2025-EROLLGEN-U05-2-FinalRoll-Revision1-ENG-213-WI.pdf" TargetMode="External"/><Relationship Id="rId715" Type="http://schemas.openxmlformats.org/officeDocument/2006/relationships/hyperlink" Target="https://cookiepdf-v2-assests.s3.ap-south-1.amazonaws.com/NCT+OF+Delhi/CENTRAL/3+-+TIMARPUR_178/2025-EROLLGEN-U05-3-FinalRoll-Revision1-ENG-112-WI.pdf" TargetMode="External"/><Relationship Id="rId147" Type="http://schemas.openxmlformats.org/officeDocument/2006/relationships/hyperlink" Target="https://cookiepdf-v2-assests.s3.ap-south-1.amazonaws.com/NCT+OF+Delhi/NORTH/1+-+NERELA_295/2025-EROLLGEN-U05-1-FinalRoll-Revision1-ENG-147-WI.pdf" TargetMode="External"/><Relationship Id="rId354" Type="http://schemas.openxmlformats.org/officeDocument/2006/relationships/hyperlink" Target="https://cookiepdf-v2-assests.s3.ap-south-1.amazonaws.com/NCT+OF+Delhi/CENTRAL/2+-+BURARI_324/2025-EROLLGEN-U05-2-FinalRoll-Revision1-ENG-59-WI.pdf" TargetMode="External"/><Relationship Id="rId51" Type="http://schemas.openxmlformats.org/officeDocument/2006/relationships/hyperlink" Target="https://cookiepdf-v2-assests.s3.ap-south-1.amazonaws.com/NCT+OF+Delhi/NORTH/1+-+NERELA_295/2025-EROLLGEN-U05-1-FinalRoll-Revision1-ENG-51-WI.pdf" TargetMode="External"/><Relationship Id="rId561" Type="http://schemas.openxmlformats.org/officeDocument/2006/relationships/hyperlink" Target="https://cookiepdf-v2-assests.s3.ap-south-1.amazonaws.com/NCT+OF+Delhi/CENTRAL/2+-+BURARI_324/2025-EROLLGEN-U05-2-FinalRoll-Revision1-ENG-266-WI.pdf" TargetMode="External"/><Relationship Id="rId659" Type="http://schemas.openxmlformats.org/officeDocument/2006/relationships/hyperlink" Target="https://cookiepdf-v2-assests.s3.ap-south-1.amazonaws.com/NCT+OF+Delhi/CENTRAL/3+-+TIMARPUR_178/2025-EROLLGEN-U05-3-FinalRoll-Revision1-ENG-56-WI.pdf" TargetMode="External"/><Relationship Id="rId214" Type="http://schemas.openxmlformats.org/officeDocument/2006/relationships/hyperlink" Target="https://cookiepdf-v2-assests.s3.ap-south-1.amazonaws.com/NCT+OF+Delhi/NORTH/1+-+NERELA_295/2025-EROLLGEN-U05-1-FinalRoll-Revision1-ENG-214-WI.pdf" TargetMode="External"/><Relationship Id="rId298" Type="http://schemas.openxmlformats.org/officeDocument/2006/relationships/hyperlink" Target="https://cookiepdf-v2-assests.s3.ap-south-1.amazonaws.com/NCT+OF+Delhi/CENTRAL/2+-+BURARI_324/2025-EROLLGEN-U05-2-FinalRoll-Revision1-ENG-3-WI.pdf" TargetMode="External"/><Relationship Id="rId421" Type="http://schemas.openxmlformats.org/officeDocument/2006/relationships/hyperlink" Target="https://cookiepdf-v2-assests.s3.ap-south-1.amazonaws.com/NCT+OF+Delhi/CENTRAL/2+-+BURARI_324/2025-EROLLGEN-U05-2-FinalRoll-Revision1-ENG-126-WI.pdf" TargetMode="External"/><Relationship Id="rId519" Type="http://schemas.openxmlformats.org/officeDocument/2006/relationships/hyperlink" Target="https://cookiepdf-v2-assests.s3.ap-south-1.amazonaws.com/NCT+OF+Delhi/CENTRAL/2+-+BURARI_324/2025-EROLLGEN-U05-2-FinalRoll-Revision1-ENG-224-WI.pdf" TargetMode="External"/><Relationship Id="rId158" Type="http://schemas.openxmlformats.org/officeDocument/2006/relationships/hyperlink" Target="https://cookiepdf-v2-assests.s3.ap-south-1.amazonaws.com/NCT+OF+Delhi/NORTH/1+-+NERELA_295/2025-EROLLGEN-U05-1-FinalRoll-Revision1-ENG-158-WI.pdf" TargetMode="External"/><Relationship Id="rId726" Type="http://schemas.openxmlformats.org/officeDocument/2006/relationships/hyperlink" Target="https://cookiepdf-v2-assests.s3.ap-south-1.amazonaws.com/NCT+OF+Delhi/CENTRAL/3+-+TIMARPUR_178/2025-EROLLGEN-U05-3-FinalRoll-Revision1-ENG-123-WI.pdf" TargetMode="External"/><Relationship Id="rId62" Type="http://schemas.openxmlformats.org/officeDocument/2006/relationships/hyperlink" Target="https://cookiepdf-v2-assests.s3.ap-south-1.amazonaws.com/NCT+OF+Delhi/NORTH/1+-+NERELA_295/2025-EROLLGEN-U05-1-FinalRoll-Revision1-ENG-62-WI.pdf" TargetMode="External"/><Relationship Id="rId365" Type="http://schemas.openxmlformats.org/officeDocument/2006/relationships/hyperlink" Target="https://cookiepdf-v2-assests.s3.ap-south-1.amazonaws.com/NCT+OF+Delhi/CENTRAL/2+-+BURARI_324/2025-EROLLGEN-U05-2-FinalRoll-Revision1-ENG-70-WI.pdf" TargetMode="External"/><Relationship Id="rId572" Type="http://schemas.openxmlformats.org/officeDocument/2006/relationships/hyperlink" Target="https://cookiepdf-v2-assests.s3.ap-south-1.amazonaws.com/NCT+OF+Delhi/CENTRAL/2+-+BURARI_324/2025-EROLLGEN-U05-2-FinalRoll-Revision1-ENG-277-WI.pdf" TargetMode="External"/><Relationship Id="rId225" Type="http://schemas.openxmlformats.org/officeDocument/2006/relationships/hyperlink" Target="https://cookiepdf-v2-assests.s3.ap-south-1.amazonaws.com/NCT+OF+Delhi/NORTH/1+-+NERELA_295/2025-EROLLGEN-U05-1-FinalRoll-Revision1-ENG-225-WI.pdf" TargetMode="External"/><Relationship Id="rId432" Type="http://schemas.openxmlformats.org/officeDocument/2006/relationships/hyperlink" Target="https://cookiepdf-v2-assests.s3.ap-south-1.amazonaws.com/NCT+OF+Delhi/CENTRAL/2+-+BURARI_324/2025-EROLLGEN-U05-2-FinalRoll-Revision1-ENG-137-WI.pdf" TargetMode="External"/><Relationship Id="rId737" Type="http://schemas.openxmlformats.org/officeDocument/2006/relationships/hyperlink" Target="https://cookiepdf-v2-assests.s3.ap-south-1.amazonaws.com/NCT+OF+Delhi/CENTRAL/3+-+TIMARPUR_178/2025-EROLLGEN-U05-3-FinalRoll-Revision1-ENG-134-WI.pdf" TargetMode="External"/><Relationship Id="rId73" Type="http://schemas.openxmlformats.org/officeDocument/2006/relationships/hyperlink" Target="https://cookiepdf-v2-assests.s3.ap-south-1.amazonaws.com/NCT+OF+Delhi/NORTH/1+-+NERELA_295/2025-EROLLGEN-U05-1-FinalRoll-Revision1-ENG-73-WI.pdf" TargetMode="External"/><Relationship Id="rId169" Type="http://schemas.openxmlformats.org/officeDocument/2006/relationships/hyperlink" Target="https://cookiepdf-v2-assests.s3.ap-south-1.amazonaws.com/NCT+OF+Delhi/NORTH/1+-+NERELA_295/2025-EROLLGEN-U05-1-FinalRoll-Revision1-ENG-169-WI.pdf" TargetMode="External"/><Relationship Id="rId376" Type="http://schemas.openxmlformats.org/officeDocument/2006/relationships/hyperlink" Target="https://cookiepdf-v2-assests.s3.ap-south-1.amazonaws.com/NCT+OF+Delhi/CENTRAL/2+-+BURARI_324/2025-EROLLGEN-U05-2-FinalRoll-Revision1-ENG-81-WI.pdf" TargetMode="External"/><Relationship Id="rId583" Type="http://schemas.openxmlformats.org/officeDocument/2006/relationships/hyperlink" Target="https://cookiepdf-v2-assests.s3.ap-south-1.amazonaws.com/NCT+OF+Delhi/CENTRAL/2+-+BURARI_324/2025-EROLLGEN-U05-2-FinalRoll-Revision1-ENG-288-WI.pdf" TargetMode="External"/><Relationship Id="rId4" Type="http://schemas.openxmlformats.org/officeDocument/2006/relationships/hyperlink" Target="https://cookiepdf-v2-assests.s3.ap-south-1.amazonaws.com/NCT+OF+Delhi/NORTH/1+-+NERELA_295/2025-EROLLGEN-U05-1-FinalRoll-Revision1-ENG-4-WI.pdf" TargetMode="External"/><Relationship Id="rId236" Type="http://schemas.openxmlformats.org/officeDocument/2006/relationships/hyperlink" Target="https://cookiepdf-v2-assests.s3.ap-south-1.amazonaws.com/NCT+OF+Delhi/NORTH/1+-+NERELA_295/2025-EROLLGEN-U05-1-FinalRoll-Revision1-ENG-236-WI.pdf" TargetMode="External"/><Relationship Id="rId443" Type="http://schemas.openxmlformats.org/officeDocument/2006/relationships/hyperlink" Target="https://cookiepdf-v2-assests.s3.ap-south-1.amazonaws.com/NCT+OF+Delhi/CENTRAL/2+-+BURARI_324/2025-EROLLGEN-U05-2-FinalRoll-Revision1-ENG-148-WI.pdf" TargetMode="External"/><Relationship Id="rId650" Type="http://schemas.openxmlformats.org/officeDocument/2006/relationships/hyperlink" Target="https://cookiepdf-v2-assests.s3.ap-south-1.amazonaws.com/NCT+OF+Delhi/CENTRAL/3+-+TIMARPUR_178/2025-EROLLGEN-U05-3-FinalRoll-Revision1-ENG-47-WI.pdf" TargetMode="External"/><Relationship Id="rId303" Type="http://schemas.openxmlformats.org/officeDocument/2006/relationships/hyperlink" Target="https://cookiepdf-v2-assests.s3.ap-south-1.amazonaws.com/NCT+OF+Delhi/CENTRAL/2+-+BURARI_324/2025-EROLLGEN-U05-2-FinalRoll-Revision1-ENG-8-WI.pdf" TargetMode="External"/><Relationship Id="rId748" Type="http://schemas.openxmlformats.org/officeDocument/2006/relationships/hyperlink" Target="https://cookiepdf-v2-assests.s3.ap-south-1.amazonaws.com/NCT+OF+Delhi/CENTRAL/3+-+TIMARPUR_178/2025-EROLLGEN-U05-3-FinalRoll-Revision1-ENG-145-WI.pdf" TargetMode="External"/><Relationship Id="rId84" Type="http://schemas.openxmlformats.org/officeDocument/2006/relationships/hyperlink" Target="https://cookiepdf-v2-assests.s3.ap-south-1.amazonaws.com/NCT+OF+Delhi/NORTH/1+-+NERELA_295/2025-EROLLGEN-U05-1-FinalRoll-Revision1-ENG-84-WI.pdf" TargetMode="External"/><Relationship Id="rId387" Type="http://schemas.openxmlformats.org/officeDocument/2006/relationships/hyperlink" Target="https://cookiepdf-v2-assests.s3.ap-south-1.amazonaws.com/NCT+OF+Delhi/CENTRAL/2+-+BURARI_324/2025-EROLLGEN-U05-2-FinalRoll-Revision1-ENG-92-WI.pdf" TargetMode="External"/><Relationship Id="rId510" Type="http://schemas.openxmlformats.org/officeDocument/2006/relationships/hyperlink" Target="https://cookiepdf-v2-assests.s3.ap-south-1.amazonaws.com/NCT+OF+Delhi/CENTRAL/2+-+BURARI_324/2025-EROLLGEN-U05-2-FinalRoll-Revision1-ENG-215-WI.pdf" TargetMode="External"/><Relationship Id="rId594" Type="http://schemas.openxmlformats.org/officeDocument/2006/relationships/hyperlink" Target="https://cookiepdf-v2-assests.s3.ap-south-1.amazonaws.com/NCT+OF+Delhi/CENTRAL/2+-+BURARI_324/2025-EROLLGEN-U05-2-FinalRoll-Revision1-ENG-299-WI.pdf" TargetMode="External"/><Relationship Id="rId608" Type="http://schemas.openxmlformats.org/officeDocument/2006/relationships/hyperlink" Target="https://cookiepdf-v2-assests.s3.ap-south-1.amazonaws.com/NCT+OF+Delhi/CENTRAL/3+-+TIMARPUR_178/2025-EROLLGEN-U05-3-FinalRoll-Revision1-ENG-5-WI.pdf" TargetMode="External"/><Relationship Id="rId247" Type="http://schemas.openxmlformats.org/officeDocument/2006/relationships/hyperlink" Target="https://cookiepdf-v2-assests.s3.ap-south-1.amazonaws.com/NCT+OF+Delhi/NORTH/1+-+NERELA_295/2025-EROLLGEN-U05-1-FinalRoll-Revision1-ENG-247-WI.pdf" TargetMode="External"/><Relationship Id="rId107" Type="http://schemas.openxmlformats.org/officeDocument/2006/relationships/hyperlink" Target="https://cookiepdf-v2-assests.s3.ap-south-1.amazonaws.com/NCT+OF+Delhi/NORTH/1+-+NERELA_295/2025-EROLLGEN-U05-1-FinalRoll-Revision1-ENG-107-WI.pdf" TargetMode="External"/><Relationship Id="rId454" Type="http://schemas.openxmlformats.org/officeDocument/2006/relationships/hyperlink" Target="https://cookiepdf-v2-assests.s3.ap-south-1.amazonaws.com/NCT+OF+Delhi/CENTRAL/2+-+BURARI_324/2025-EROLLGEN-U05-2-FinalRoll-Revision1-ENG-159-WI.pdf" TargetMode="External"/><Relationship Id="rId661" Type="http://schemas.openxmlformats.org/officeDocument/2006/relationships/hyperlink" Target="https://cookiepdf-v2-assests.s3.ap-south-1.amazonaws.com/NCT+OF+Delhi/CENTRAL/3+-+TIMARPUR_178/2025-EROLLGEN-U05-3-FinalRoll-Revision1-ENG-58-WI.pdf" TargetMode="External"/><Relationship Id="rId759" Type="http://schemas.openxmlformats.org/officeDocument/2006/relationships/hyperlink" Target="https://cookiepdf-v2-assests.s3.ap-south-1.amazonaws.com/NCT+OF+Delhi/CENTRAL/3+-+TIMARPUR_178/2025-EROLLGEN-U05-3-FinalRoll-Revision1-ENG-156-W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22AC-2465-437C-B9AF-BEA7A106CABD}">
  <sheetPr codeName="Sheet1"/>
  <dimension ref="B1:K794"/>
  <sheetViews>
    <sheetView tabSelected="1" topLeftCell="B1" zoomScale="85" zoomScaleNormal="85" workbookViewId="0">
      <selection activeCell="G8" sqref="G8"/>
    </sheetView>
  </sheetViews>
  <sheetFormatPr defaultColWidth="9.15234375" defaultRowHeight="13.5" customHeight="1" x14ac:dyDescent="0.3"/>
  <cols>
    <col min="1" max="1" width="0" style="1" hidden="1" customWidth="1"/>
    <col min="2" max="2" width="9.15234375" style="1"/>
    <col min="3" max="3" width="15.15234375" style="1" bestFit="1" customWidth="1"/>
    <col min="4" max="4" width="18.4609375" style="1" bestFit="1" customWidth="1"/>
    <col min="5" max="5" width="10.53515625" style="1" bestFit="1" customWidth="1"/>
    <col min="6" max="6" width="20.53515625" style="1" bestFit="1" customWidth="1"/>
    <col min="7" max="7" width="16.69140625" style="1" customWidth="1"/>
    <col min="8" max="8" width="18.53515625" style="17" customWidth="1"/>
    <col min="9" max="9" width="16.69140625" style="1" customWidth="1"/>
    <col min="10" max="10" width="13" style="1" bestFit="1" customWidth="1"/>
    <col min="11" max="11" width="35.4609375" style="23" customWidth="1"/>
    <col min="12" max="12" width="20.53515625" style="1" bestFit="1" customWidth="1"/>
    <col min="13" max="13" width="9.15234375" style="1"/>
    <col min="14" max="14" width="10.69140625" style="1" bestFit="1" customWidth="1"/>
    <col min="15" max="15" width="12.15234375" style="1" customWidth="1"/>
    <col min="16" max="16384" width="9.15234375" style="1"/>
  </cols>
  <sheetData>
    <row r="1" spans="3:11" ht="13.5" customHeight="1" thickBot="1" x14ac:dyDescent="0.45">
      <c r="C1" s="32" t="s">
        <v>0</v>
      </c>
      <c r="D1" s="32"/>
      <c r="E1" s="32"/>
      <c r="F1" s="32"/>
      <c r="G1" s="32"/>
      <c r="H1" s="32"/>
      <c r="I1" s="32"/>
    </row>
    <row r="2" spans="3:11" ht="13.5" customHeight="1" thickBot="1" x14ac:dyDescent="0.35">
      <c r="C2" s="2" t="s">
        <v>3</v>
      </c>
      <c r="D2" s="29" t="s">
        <v>4</v>
      </c>
      <c r="E2" s="31"/>
      <c r="F2" s="4" t="s">
        <v>19</v>
      </c>
      <c r="G2" s="4" t="s">
        <v>5</v>
      </c>
      <c r="H2" s="5" t="s">
        <v>18</v>
      </c>
      <c r="I2" s="2" t="s">
        <v>6</v>
      </c>
    </row>
    <row r="3" spans="3:11" ht="13.5" customHeight="1" thickBot="1" x14ac:dyDescent="0.35">
      <c r="C3" s="6"/>
      <c r="D3" s="33" t="s">
        <v>21</v>
      </c>
      <c r="E3" s="34"/>
      <c r="F3" s="7"/>
      <c r="G3" s="7">
        <v>5595</v>
      </c>
      <c r="H3" s="8">
        <v>93</v>
      </c>
      <c r="I3" s="9" cm="1">
        <f t="array" ref="I3">LOOKUP(2,1/(G:G&lt;&gt;""),G:G)</f>
        <v>883214</v>
      </c>
      <c r="J3" s="1">
        <f>11407998/76000</f>
        <v>150.10523684210526</v>
      </c>
    </row>
    <row r="4" spans="3:11" ht="13.5" customHeight="1" thickBot="1" x14ac:dyDescent="0.35">
      <c r="C4" s="3" t="s">
        <v>7</v>
      </c>
      <c r="D4" s="10" t="s">
        <v>8</v>
      </c>
      <c r="E4" s="29" t="s">
        <v>20</v>
      </c>
      <c r="F4" s="30"/>
      <c r="G4" s="30" t="s">
        <v>9</v>
      </c>
      <c r="H4" s="30"/>
      <c r="I4" s="31"/>
    </row>
    <row r="5" spans="3:11" ht="13.5" customHeight="1" thickBot="1" x14ac:dyDescent="0.35">
      <c r="C5" s="11">
        <f>I3/H3</f>
        <v>9496.9247311827949</v>
      </c>
      <c r="D5" s="12">
        <v>20</v>
      </c>
      <c r="E5" s="13" t="s">
        <v>1</v>
      </c>
      <c r="F5" s="3" t="s">
        <v>2</v>
      </c>
      <c r="G5" s="29">
        <v>2024</v>
      </c>
      <c r="H5" s="30"/>
      <c r="I5" s="31"/>
    </row>
    <row r="6" spans="3:11" ht="13.5" customHeight="1" x14ac:dyDescent="0.35">
      <c r="C6" s="14"/>
      <c r="D6" s="14"/>
      <c r="E6" s="14"/>
      <c r="F6" s="14"/>
      <c r="G6" s="14"/>
      <c r="H6" s="15"/>
      <c r="I6" s="14"/>
      <c r="J6" s="14"/>
    </row>
    <row r="7" spans="3:11" ht="13.5" customHeight="1" x14ac:dyDescent="0.3">
      <c r="C7" s="16"/>
    </row>
    <row r="8" spans="3:11" ht="13.5" customHeight="1" x14ac:dyDescent="0.3">
      <c r="C8" s="16"/>
    </row>
    <row r="9" spans="3:11" ht="13.5" customHeight="1" x14ac:dyDescent="0.3">
      <c r="C9" s="19">
        <v>1</v>
      </c>
      <c r="D9" s="19">
        <v>2</v>
      </c>
      <c r="E9" s="19">
        <v>3</v>
      </c>
      <c r="F9" s="19">
        <v>4</v>
      </c>
      <c r="G9" s="19">
        <v>5</v>
      </c>
      <c r="H9" s="19">
        <v>6</v>
      </c>
      <c r="I9" s="19">
        <v>7</v>
      </c>
      <c r="J9" s="19">
        <v>8</v>
      </c>
      <c r="K9" s="19">
        <v>9</v>
      </c>
    </row>
    <row r="10" spans="3:11" ht="29.5" customHeight="1" x14ac:dyDescent="0.3">
      <c r="C10" s="19" t="s">
        <v>10</v>
      </c>
      <c r="D10" s="19" t="s">
        <v>11</v>
      </c>
      <c r="E10" s="19" t="s">
        <v>12</v>
      </c>
      <c r="F10" s="19" t="s">
        <v>13</v>
      </c>
      <c r="G10" s="19" t="s">
        <v>15</v>
      </c>
      <c r="H10" s="19" t="s">
        <v>22</v>
      </c>
      <c r="I10" s="19" t="s">
        <v>23</v>
      </c>
      <c r="J10" s="19" t="s">
        <v>17</v>
      </c>
      <c r="K10" s="19" t="s">
        <v>27</v>
      </c>
    </row>
    <row r="11" spans="3:11" ht="13.5" customHeight="1" x14ac:dyDescent="0.35">
      <c r="C11" s="20"/>
      <c r="D11" s="20"/>
      <c r="E11" s="20"/>
      <c r="F11" s="20" t="s">
        <v>14</v>
      </c>
      <c r="G11" s="20" t="s">
        <v>16</v>
      </c>
      <c r="H11" s="21"/>
      <c r="I11" s="22"/>
      <c r="J11" s="24"/>
      <c r="K11" s="25"/>
    </row>
    <row r="12" spans="3:11" ht="13.5" customHeight="1" x14ac:dyDescent="0.4">
      <c r="C12" s="26">
        <v>1</v>
      </c>
      <c r="D12" s="26" t="s">
        <v>26</v>
      </c>
      <c r="E12" s="26">
        <v>1</v>
      </c>
      <c r="F12" s="26">
        <v>1125</v>
      </c>
      <c r="G12" s="22">
        <f>F12</f>
        <v>1125</v>
      </c>
      <c r="H12" s="18" t="str">
        <f t="shared" ref="H12:H75" si="0">IF(AND(G12 &gt;= ($D$5 + ($C$5 * (INT((G12 - $D$5)/$C$5)))), G11 &lt; ($D$5 + ($C$5 * (INT((G12 - $D$5)/$C$5))))), $D$5 + ($C$5 * INT((G12 - $D$5)/$C$5)), "")</f>
        <v/>
      </c>
      <c r="I12" s="22" t="str">
        <f t="shared" ref="I12:I75" si="1">IFERROR(H12-G11, "")</f>
        <v/>
      </c>
      <c r="J12" s="20" t="str">
        <f>IF(I12="", "", COUNT($I$11:$I13))</f>
        <v/>
      </c>
      <c r="K12" s="28" t="s">
        <v>30</v>
      </c>
    </row>
    <row r="13" spans="3:11" ht="13.5" customHeight="1" x14ac:dyDescent="0.4">
      <c r="C13" s="26">
        <v>1</v>
      </c>
      <c r="D13" s="26" t="s">
        <v>26</v>
      </c>
      <c r="E13" s="26">
        <v>2</v>
      </c>
      <c r="F13" s="26">
        <v>1254</v>
      </c>
      <c r="G13" s="22">
        <f>G12+F13</f>
        <v>2379</v>
      </c>
      <c r="H13" s="18" t="str">
        <f t="shared" si="0"/>
        <v/>
      </c>
      <c r="I13" s="22" t="str">
        <f t="shared" si="1"/>
        <v/>
      </c>
      <c r="J13" s="20" t="str">
        <f>IF(I13="", "", COUNT($I$12:$I13))</f>
        <v/>
      </c>
      <c r="K13" s="28" t="s">
        <v>31</v>
      </c>
    </row>
    <row r="14" spans="3:11" ht="13.5" customHeight="1" x14ac:dyDescent="0.4">
      <c r="C14" s="26">
        <v>1</v>
      </c>
      <c r="D14" s="26" t="s">
        <v>26</v>
      </c>
      <c r="E14" s="26">
        <v>3</v>
      </c>
      <c r="F14" s="26">
        <v>907</v>
      </c>
      <c r="G14" s="22">
        <f t="shared" ref="G14:G77" si="2">G13+F14</f>
        <v>3286</v>
      </c>
      <c r="H14" s="18" t="str">
        <f t="shared" si="0"/>
        <v/>
      </c>
      <c r="I14" s="22" t="str">
        <f t="shared" si="1"/>
        <v/>
      </c>
      <c r="J14" s="20" t="str">
        <f>IF(I14="", "", COUNT($I$12:$I14))</f>
        <v/>
      </c>
      <c r="K14" s="28" t="s">
        <v>32</v>
      </c>
    </row>
    <row r="15" spans="3:11" ht="13.5" customHeight="1" x14ac:dyDescent="0.4">
      <c r="C15" s="26">
        <v>1</v>
      </c>
      <c r="D15" s="26" t="s">
        <v>26</v>
      </c>
      <c r="E15" s="26">
        <v>4</v>
      </c>
      <c r="F15" s="26">
        <v>822</v>
      </c>
      <c r="G15" s="22">
        <f t="shared" si="2"/>
        <v>4108</v>
      </c>
      <c r="H15" s="18" t="str">
        <f t="shared" si="0"/>
        <v/>
      </c>
      <c r="I15" s="22" t="str">
        <f t="shared" si="1"/>
        <v/>
      </c>
      <c r="J15" s="20" t="str">
        <f>IF(I15="", "", COUNT($I$12:$I15))</f>
        <v/>
      </c>
      <c r="K15" s="28" t="s">
        <v>33</v>
      </c>
    </row>
    <row r="16" spans="3:11" ht="13.5" customHeight="1" x14ac:dyDescent="0.4">
      <c r="C16" s="26">
        <v>1</v>
      </c>
      <c r="D16" s="26" t="s">
        <v>26</v>
      </c>
      <c r="E16" s="26">
        <v>5</v>
      </c>
      <c r="F16" s="26">
        <v>1153</v>
      </c>
      <c r="G16" s="22">
        <f t="shared" si="2"/>
        <v>5261</v>
      </c>
      <c r="H16" s="18" t="str">
        <f t="shared" si="0"/>
        <v/>
      </c>
      <c r="I16" s="22" t="str">
        <f t="shared" si="1"/>
        <v/>
      </c>
      <c r="J16" s="20" t="str">
        <f>IF(I16="", "", COUNT($I$12:$I16))</f>
        <v/>
      </c>
      <c r="K16" s="28" t="s">
        <v>34</v>
      </c>
    </row>
    <row r="17" spans="3:11" ht="13.5" customHeight="1" x14ac:dyDescent="0.4">
      <c r="C17" s="26">
        <v>1</v>
      </c>
      <c r="D17" s="26" t="s">
        <v>26</v>
      </c>
      <c r="E17" s="26">
        <v>6</v>
      </c>
      <c r="F17" s="26">
        <v>1203</v>
      </c>
      <c r="G17" s="22">
        <f t="shared" si="2"/>
        <v>6464</v>
      </c>
      <c r="H17" s="18" t="str">
        <f t="shared" si="0"/>
        <v/>
      </c>
      <c r="I17" s="22" t="str">
        <f t="shared" si="1"/>
        <v/>
      </c>
      <c r="J17" s="20" t="str">
        <f>IF(I17="", "", COUNT($I$12:$I17))</f>
        <v/>
      </c>
      <c r="K17" s="28" t="s">
        <v>35</v>
      </c>
    </row>
    <row r="18" spans="3:11" ht="13.5" customHeight="1" x14ac:dyDescent="0.4">
      <c r="C18" s="26">
        <v>1</v>
      </c>
      <c r="D18" s="26" t="s">
        <v>26</v>
      </c>
      <c r="E18" s="26">
        <v>7</v>
      </c>
      <c r="F18" s="26">
        <v>1063</v>
      </c>
      <c r="G18" s="22">
        <f t="shared" si="2"/>
        <v>7527</v>
      </c>
      <c r="H18" s="18" t="str">
        <f t="shared" si="0"/>
        <v/>
      </c>
      <c r="I18" s="22" t="str">
        <f t="shared" si="1"/>
        <v/>
      </c>
      <c r="J18" s="20" t="str">
        <f>IF(I18="", "", COUNT($I$12:$I18))</f>
        <v/>
      </c>
      <c r="K18" s="28" t="s">
        <v>36</v>
      </c>
    </row>
    <row r="19" spans="3:11" ht="13.5" customHeight="1" x14ac:dyDescent="0.4">
      <c r="C19" s="26">
        <v>1</v>
      </c>
      <c r="D19" s="26" t="s">
        <v>26</v>
      </c>
      <c r="E19" s="26">
        <v>8</v>
      </c>
      <c r="F19" s="26">
        <v>1014</v>
      </c>
      <c r="G19" s="22">
        <f t="shared" si="2"/>
        <v>8541</v>
      </c>
      <c r="H19" s="18" t="str">
        <f t="shared" si="0"/>
        <v/>
      </c>
      <c r="I19" s="22" t="str">
        <f t="shared" si="1"/>
        <v/>
      </c>
      <c r="J19" s="20" t="str">
        <f>IF(I19="", "", COUNT($I$12:$I19))</f>
        <v/>
      </c>
      <c r="K19" s="28" t="s">
        <v>37</v>
      </c>
    </row>
    <row r="20" spans="3:11" ht="13.5" customHeight="1" x14ac:dyDescent="0.4">
      <c r="C20" s="26">
        <v>1</v>
      </c>
      <c r="D20" s="26" t="s">
        <v>26</v>
      </c>
      <c r="E20" s="26">
        <v>9</v>
      </c>
      <c r="F20" s="26">
        <v>673</v>
      </c>
      <c r="G20" s="22">
        <f t="shared" si="2"/>
        <v>9214</v>
      </c>
      <c r="H20" s="18" t="str">
        <f t="shared" si="0"/>
        <v/>
      </c>
      <c r="I20" s="22" t="str">
        <f t="shared" si="1"/>
        <v/>
      </c>
      <c r="J20" s="20" t="str">
        <f>IF(I20="", "", COUNT($I$12:$I20))</f>
        <v/>
      </c>
      <c r="K20" s="28" t="s">
        <v>38</v>
      </c>
    </row>
    <row r="21" spans="3:11" ht="13.5" customHeight="1" x14ac:dyDescent="0.4">
      <c r="C21" s="26">
        <v>1</v>
      </c>
      <c r="D21" s="26" t="s">
        <v>26</v>
      </c>
      <c r="E21" s="26">
        <v>10</v>
      </c>
      <c r="F21" s="26">
        <v>1115</v>
      </c>
      <c r="G21" s="22">
        <f t="shared" si="2"/>
        <v>10329</v>
      </c>
      <c r="H21" s="18">
        <f t="shared" si="0"/>
        <v>9516.9247311827949</v>
      </c>
      <c r="I21" s="22">
        <f t="shared" si="1"/>
        <v>302.92473118279486</v>
      </c>
      <c r="J21" s="20">
        <f>IF(I21="", "", COUNT($I$12:$I21))</f>
        <v>1</v>
      </c>
      <c r="K21" s="28" t="s">
        <v>39</v>
      </c>
    </row>
    <row r="22" spans="3:11" ht="13.5" customHeight="1" x14ac:dyDescent="0.4">
      <c r="C22" s="26">
        <v>1</v>
      </c>
      <c r="D22" s="26" t="s">
        <v>26</v>
      </c>
      <c r="E22" s="26">
        <v>11</v>
      </c>
      <c r="F22" s="26">
        <v>1016</v>
      </c>
      <c r="G22" s="22">
        <f t="shared" si="2"/>
        <v>11345</v>
      </c>
      <c r="H22" s="18" t="str">
        <f t="shared" si="0"/>
        <v/>
      </c>
      <c r="I22" s="22" t="str">
        <f t="shared" si="1"/>
        <v/>
      </c>
      <c r="J22" s="20" t="str">
        <f>IF(I22="", "", COUNT($I$12:$I22))</f>
        <v/>
      </c>
      <c r="K22" s="28" t="s">
        <v>40</v>
      </c>
    </row>
    <row r="23" spans="3:11" ht="13.5" customHeight="1" x14ac:dyDescent="0.4">
      <c r="C23" s="26">
        <v>1</v>
      </c>
      <c r="D23" s="26" t="s">
        <v>26</v>
      </c>
      <c r="E23" s="26">
        <v>12</v>
      </c>
      <c r="F23" s="26">
        <v>1121</v>
      </c>
      <c r="G23" s="22">
        <f t="shared" si="2"/>
        <v>12466</v>
      </c>
      <c r="H23" s="18" t="str">
        <f t="shared" si="0"/>
        <v/>
      </c>
      <c r="I23" s="22" t="str">
        <f t="shared" si="1"/>
        <v/>
      </c>
      <c r="J23" s="20" t="str">
        <f>IF(I23="", "", COUNT($I$12:$I23))</f>
        <v/>
      </c>
      <c r="K23" s="28" t="s">
        <v>41</v>
      </c>
    </row>
    <row r="24" spans="3:11" ht="13.5" customHeight="1" x14ac:dyDescent="0.4">
      <c r="C24" s="26">
        <v>1</v>
      </c>
      <c r="D24" s="26" t="s">
        <v>26</v>
      </c>
      <c r="E24" s="26">
        <v>13</v>
      </c>
      <c r="F24" s="26">
        <v>699</v>
      </c>
      <c r="G24" s="22">
        <f t="shared" si="2"/>
        <v>13165</v>
      </c>
      <c r="H24" s="18" t="str">
        <f t="shared" si="0"/>
        <v/>
      </c>
      <c r="I24" s="22" t="str">
        <f t="shared" si="1"/>
        <v/>
      </c>
      <c r="J24" s="20" t="str">
        <f>IF(I24="", "", COUNT($I$12:$I24))</f>
        <v/>
      </c>
      <c r="K24" s="28" t="s">
        <v>42</v>
      </c>
    </row>
    <row r="25" spans="3:11" ht="13.5" customHeight="1" x14ac:dyDescent="0.4">
      <c r="C25" s="26">
        <v>1</v>
      </c>
      <c r="D25" s="26" t="s">
        <v>26</v>
      </c>
      <c r="E25" s="26">
        <v>14</v>
      </c>
      <c r="F25" s="26">
        <v>466</v>
      </c>
      <c r="G25" s="22">
        <f t="shared" si="2"/>
        <v>13631</v>
      </c>
      <c r="H25" s="18" t="str">
        <f t="shared" si="0"/>
        <v/>
      </c>
      <c r="I25" s="22" t="str">
        <f t="shared" si="1"/>
        <v/>
      </c>
      <c r="J25" s="20" t="str">
        <f>IF(I25="", "", COUNT($I$12:$I25))</f>
        <v/>
      </c>
      <c r="K25" s="28" t="s">
        <v>43</v>
      </c>
    </row>
    <row r="26" spans="3:11" ht="13.5" customHeight="1" x14ac:dyDescent="0.4">
      <c r="C26" s="26">
        <v>1</v>
      </c>
      <c r="D26" s="26" t="s">
        <v>26</v>
      </c>
      <c r="E26" s="26">
        <v>15</v>
      </c>
      <c r="F26" s="26">
        <v>947</v>
      </c>
      <c r="G26" s="22">
        <f t="shared" si="2"/>
        <v>14578</v>
      </c>
      <c r="H26" s="18" t="str">
        <f t="shared" si="0"/>
        <v/>
      </c>
      <c r="I26" s="22" t="str">
        <f t="shared" si="1"/>
        <v/>
      </c>
      <c r="J26" s="20" t="str">
        <f>IF(I26="", "", COUNT($I$12:$I26))</f>
        <v/>
      </c>
      <c r="K26" s="28" t="s">
        <v>44</v>
      </c>
    </row>
    <row r="27" spans="3:11" ht="13.5" customHeight="1" x14ac:dyDescent="0.4">
      <c r="C27" s="26">
        <v>1</v>
      </c>
      <c r="D27" s="26" t="s">
        <v>26</v>
      </c>
      <c r="E27" s="26">
        <v>16</v>
      </c>
      <c r="F27" s="26">
        <v>589</v>
      </c>
      <c r="G27" s="22">
        <f t="shared" si="2"/>
        <v>15167</v>
      </c>
      <c r="H27" s="18" t="str">
        <f t="shared" si="0"/>
        <v/>
      </c>
      <c r="I27" s="22" t="str">
        <f t="shared" si="1"/>
        <v/>
      </c>
      <c r="J27" s="20" t="str">
        <f>IF(I27="", "", COUNT($I$12:$I27))</f>
        <v/>
      </c>
      <c r="K27" s="28" t="s">
        <v>45</v>
      </c>
    </row>
    <row r="28" spans="3:11" ht="13.5" customHeight="1" x14ac:dyDescent="0.4">
      <c r="C28" s="26">
        <v>1</v>
      </c>
      <c r="D28" s="26" t="s">
        <v>26</v>
      </c>
      <c r="E28" s="26">
        <v>17</v>
      </c>
      <c r="F28" s="26">
        <v>884</v>
      </c>
      <c r="G28" s="22">
        <f t="shared" si="2"/>
        <v>16051</v>
      </c>
      <c r="H28" s="18" t="str">
        <f t="shared" si="0"/>
        <v/>
      </c>
      <c r="I28" s="22" t="str">
        <f t="shared" si="1"/>
        <v/>
      </c>
      <c r="J28" s="20" t="str">
        <f>IF(I28="", "", COUNT($I$12:$I28))</f>
        <v/>
      </c>
      <c r="K28" s="28" t="s">
        <v>46</v>
      </c>
    </row>
    <row r="29" spans="3:11" ht="13.5" customHeight="1" x14ac:dyDescent="0.4">
      <c r="C29" s="26">
        <v>1</v>
      </c>
      <c r="D29" s="26" t="s">
        <v>26</v>
      </c>
      <c r="E29" s="26">
        <v>18</v>
      </c>
      <c r="F29" s="26">
        <v>972</v>
      </c>
      <c r="G29" s="22">
        <f t="shared" si="2"/>
        <v>17023</v>
      </c>
      <c r="H29" s="18" t="str">
        <f t="shared" si="0"/>
        <v/>
      </c>
      <c r="I29" s="22" t="str">
        <f t="shared" si="1"/>
        <v/>
      </c>
      <c r="J29" s="20" t="str">
        <f>IF(I29="", "", COUNT($I$12:$I29))</f>
        <v/>
      </c>
      <c r="K29" s="28" t="s">
        <v>47</v>
      </c>
    </row>
    <row r="30" spans="3:11" ht="13.5" customHeight="1" x14ac:dyDescent="0.4">
      <c r="C30" s="26">
        <v>1</v>
      </c>
      <c r="D30" s="26" t="s">
        <v>26</v>
      </c>
      <c r="E30" s="26">
        <v>19</v>
      </c>
      <c r="F30" s="26">
        <v>717</v>
      </c>
      <c r="G30" s="22">
        <f t="shared" si="2"/>
        <v>17740</v>
      </c>
      <c r="H30" s="18" t="str">
        <f t="shared" si="0"/>
        <v/>
      </c>
      <c r="I30" s="22" t="str">
        <f t="shared" si="1"/>
        <v/>
      </c>
      <c r="J30" s="20" t="str">
        <f>IF(I30="", "", COUNT($I$12:$I30))</f>
        <v/>
      </c>
      <c r="K30" s="28" t="s">
        <v>48</v>
      </c>
    </row>
    <row r="31" spans="3:11" ht="13.5" customHeight="1" x14ac:dyDescent="0.4">
      <c r="C31" s="26">
        <v>1</v>
      </c>
      <c r="D31" s="26" t="s">
        <v>26</v>
      </c>
      <c r="E31" s="26">
        <v>20</v>
      </c>
      <c r="F31" s="26">
        <v>745</v>
      </c>
      <c r="G31" s="22">
        <f t="shared" si="2"/>
        <v>18485</v>
      </c>
      <c r="H31" s="18" t="str">
        <f t="shared" si="0"/>
        <v/>
      </c>
      <c r="I31" s="22" t="str">
        <f t="shared" si="1"/>
        <v/>
      </c>
      <c r="J31" s="20" t="str">
        <f>IF(I31="", "", COUNT($I$12:$I31))</f>
        <v/>
      </c>
      <c r="K31" s="28" t="s">
        <v>49</v>
      </c>
    </row>
    <row r="32" spans="3:11" ht="13.5" customHeight="1" x14ac:dyDescent="0.4">
      <c r="C32" s="26">
        <v>1</v>
      </c>
      <c r="D32" s="26" t="s">
        <v>26</v>
      </c>
      <c r="E32" s="26">
        <v>21</v>
      </c>
      <c r="F32" s="26">
        <v>1404</v>
      </c>
      <c r="G32" s="22">
        <f t="shared" si="2"/>
        <v>19889</v>
      </c>
      <c r="H32" s="18">
        <f t="shared" si="0"/>
        <v>19013.84946236559</v>
      </c>
      <c r="I32" s="22">
        <f t="shared" si="1"/>
        <v>528.84946236558972</v>
      </c>
      <c r="J32" s="20">
        <f>IF(I32="", "", COUNT($I$12:$I32))</f>
        <v>2</v>
      </c>
      <c r="K32" s="28" t="s">
        <v>50</v>
      </c>
    </row>
    <row r="33" spans="3:11" ht="13.5" customHeight="1" x14ac:dyDescent="0.4">
      <c r="C33" s="26">
        <v>1</v>
      </c>
      <c r="D33" s="26" t="s">
        <v>26</v>
      </c>
      <c r="E33" s="26">
        <v>22</v>
      </c>
      <c r="F33" s="26">
        <v>526</v>
      </c>
      <c r="G33" s="22">
        <f t="shared" si="2"/>
        <v>20415</v>
      </c>
      <c r="H33" s="18" t="str">
        <f t="shared" si="0"/>
        <v/>
      </c>
      <c r="I33" s="22" t="str">
        <f t="shared" si="1"/>
        <v/>
      </c>
      <c r="J33" s="20" t="str">
        <f>IF(I33="", "", COUNT($I$12:$I33))</f>
        <v/>
      </c>
      <c r="K33" s="28" t="s">
        <v>51</v>
      </c>
    </row>
    <row r="34" spans="3:11" ht="13.5" customHeight="1" x14ac:dyDescent="0.4">
      <c r="C34" s="26">
        <v>1</v>
      </c>
      <c r="D34" s="26" t="s">
        <v>26</v>
      </c>
      <c r="E34" s="26">
        <v>23</v>
      </c>
      <c r="F34" s="26">
        <v>909</v>
      </c>
      <c r="G34" s="22">
        <f t="shared" si="2"/>
        <v>21324</v>
      </c>
      <c r="H34" s="18" t="str">
        <f t="shared" si="0"/>
        <v/>
      </c>
      <c r="I34" s="22" t="str">
        <f t="shared" si="1"/>
        <v/>
      </c>
      <c r="J34" s="20" t="str">
        <f>IF(I34="", "", COUNT($I$12:$I34))</f>
        <v/>
      </c>
      <c r="K34" s="28" t="s">
        <v>52</v>
      </c>
    </row>
    <row r="35" spans="3:11" ht="13.5" customHeight="1" x14ac:dyDescent="0.4">
      <c r="C35" s="26">
        <v>1</v>
      </c>
      <c r="D35" s="26" t="s">
        <v>26</v>
      </c>
      <c r="E35" s="26">
        <v>24</v>
      </c>
      <c r="F35" s="26">
        <v>815</v>
      </c>
      <c r="G35" s="22">
        <f t="shared" si="2"/>
        <v>22139</v>
      </c>
      <c r="H35" s="18" t="str">
        <f t="shared" si="0"/>
        <v/>
      </c>
      <c r="I35" s="22" t="str">
        <f t="shared" si="1"/>
        <v/>
      </c>
      <c r="J35" s="20" t="str">
        <f>IF(I35="", "", COUNT($I$12:$I35))</f>
        <v/>
      </c>
      <c r="K35" s="28" t="s">
        <v>53</v>
      </c>
    </row>
    <row r="36" spans="3:11" ht="13.5" customHeight="1" x14ac:dyDescent="0.4">
      <c r="C36" s="26">
        <v>1</v>
      </c>
      <c r="D36" s="26" t="s">
        <v>26</v>
      </c>
      <c r="E36" s="26">
        <v>25</v>
      </c>
      <c r="F36" s="26">
        <v>682</v>
      </c>
      <c r="G36" s="22">
        <f t="shared" si="2"/>
        <v>22821</v>
      </c>
      <c r="H36" s="18" t="str">
        <f t="shared" si="0"/>
        <v/>
      </c>
      <c r="I36" s="22" t="str">
        <f t="shared" si="1"/>
        <v/>
      </c>
      <c r="J36" s="20" t="str">
        <f>IF(I36="", "", COUNT($I$12:$I36))</f>
        <v/>
      </c>
      <c r="K36" s="28" t="s">
        <v>54</v>
      </c>
    </row>
    <row r="37" spans="3:11" ht="13.5" customHeight="1" x14ac:dyDescent="0.4">
      <c r="C37" s="26">
        <v>1</v>
      </c>
      <c r="D37" s="26" t="s">
        <v>26</v>
      </c>
      <c r="E37" s="26">
        <v>26</v>
      </c>
      <c r="F37" s="26">
        <v>961</v>
      </c>
      <c r="G37" s="22">
        <f t="shared" si="2"/>
        <v>23782</v>
      </c>
      <c r="H37" s="18" t="str">
        <f t="shared" si="0"/>
        <v/>
      </c>
      <c r="I37" s="22" t="str">
        <f t="shared" si="1"/>
        <v/>
      </c>
      <c r="J37" s="20" t="str">
        <f>IF(I37="", "", COUNT($I$12:$I37))</f>
        <v/>
      </c>
      <c r="K37" s="28" t="s">
        <v>55</v>
      </c>
    </row>
    <row r="38" spans="3:11" ht="13.5" customHeight="1" x14ac:dyDescent="0.4">
      <c r="C38" s="26">
        <v>1</v>
      </c>
      <c r="D38" s="26" t="s">
        <v>26</v>
      </c>
      <c r="E38" s="26">
        <v>27</v>
      </c>
      <c r="F38" s="26">
        <v>742</v>
      </c>
      <c r="G38" s="22">
        <f t="shared" si="2"/>
        <v>24524</v>
      </c>
      <c r="H38" s="18" t="str">
        <f t="shared" si="0"/>
        <v/>
      </c>
      <c r="I38" s="22" t="str">
        <f t="shared" si="1"/>
        <v/>
      </c>
      <c r="J38" s="20" t="str">
        <f>IF(I38="", "", COUNT($I$12:$I38))</f>
        <v/>
      </c>
      <c r="K38" s="28" t="s">
        <v>56</v>
      </c>
    </row>
    <row r="39" spans="3:11" ht="13.5" customHeight="1" x14ac:dyDescent="0.4">
      <c r="C39" s="26">
        <v>1</v>
      </c>
      <c r="D39" s="26" t="s">
        <v>26</v>
      </c>
      <c r="E39" s="26">
        <v>28</v>
      </c>
      <c r="F39" s="26">
        <v>563</v>
      </c>
      <c r="G39" s="22">
        <f t="shared" si="2"/>
        <v>25087</v>
      </c>
      <c r="H39" s="18" t="str">
        <f t="shared" si="0"/>
        <v/>
      </c>
      <c r="I39" s="22" t="str">
        <f t="shared" si="1"/>
        <v/>
      </c>
      <c r="J39" s="20" t="str">
        <f>IF(I39="", "", COUNT($I$12:$I39))</f>
        <v/>
      </c>
      <c r="K39" s="28" t="s">
        <v>57</v>
      </c>
    </row>
    <row r="40" spans="3:11" ht="13.5" customHeight="1" x14ac:dyDescent="0.4">
      <c r="C40" s="26">
        <v>1</v>
      </c>
      <c r="D40" s="26" t="s">
        <v>26</v>
      </c>
      <c r="E40" s="26">
        <v>29</v>
      </c>
      <c r="F40" s="26">
        <v>1097</v>
      </c>
      <c r="G40" s="22">
        <f t="shared" si="2"/>
        <v>26184</v>
      </c>
      <c r="H40" s="18" t="str">
        <f t="shared" si="0"/>
        <v/>
      </c>
      <c r="I40" s="22" t="str">
        <f t="shared" si="1"/>
        <v/>
      </c>
      <c r="J40" s="20" t="str">
        <f>IF(I40="", "", COUNT($I$12:$I40))</f>
        <v/>
      </c>
      <c r="K40" s="28" t="s">
        <v>58</v>
      </c>
    </row>
    <row r="41" spans="3:11" ht="13.5" customHeight="1" x14ac:dyDescent="0.4">
      <c r="C41" s="26">
        <v>1</v>
      </c>
      <c r="D41" s="26" t="s">
        <v>26</v>
      </c>
      <c r="E41" s="26">
        <v>30</v>
      </c>
      <c r="F41" s="26">
        <v>725</v>
      </c>
      <c r="G41" s="22">
        <f t="shared" si="2"/>
        <v>26909</v>
      </c>
      <c r="H41" s="18" t="str">
        <f t="shared" si="0"/>
        <v/>
      </c>
      <c r="I41" s="22" t="str">
        <f t="shared" si="1"/>
        <v/>
      </c>
      <c r="J41" s="20" t="str">
        <f>IF(I41="", "", COUNT($I$12:$I41))</f>
        <v/>
      </c>
      <c r="K41" s="28" t="s">
        <v>59</v>
      </c>
    </row>
    <row r="42" spans="3:11" ht="13.5" customHeight="1" x14ac:dyDescent="0.4">
      <c r="C42" s="26">
        <v>1</v>
      </c>
      <c r="D42" s="26" t="s">
        <v>26</v>
      </c>
      <c r="E42" s="26">
        <v>31</v>
      </c>
      <c r="F42" s="26">
        <v>679</v>
      </c>
      <c r="G42" s="22">
        <f t="shared" si="2"/>
        <v>27588</v>
      </c>
      <c r="H42" s="18" t="str">
        <f t="shared" si="0"/>
        <v/>
      </c>
      <c r="I42" s="22" t="str">
        <f t="shared" si="1"/>
        <v/>
      </c>
      <c r="J42" s="20" t="str">
        <f>IF(I42="", "", COUNT($I$12:$I42))</f>
        <v/>
      </c>
      <c r="K42" s="28" t="s">
        <v>60</v>
      </c>
    </row>
    <row r="43" spans="3:11" ht="13.5" customHeight="1" x14ac:dyDescent="0.4">
      <c r="C43" s="26">
        <v>1</v>
      </c>
      <c r="D43" s="26" t="s">
        <v>26</v>
      </c>
      <c r="E43" s="26">
        <v>32</v>
      </c>
      <c r="F43" s="26">
        <v>914</v>
      </c>
      <c r="G43" s="22">
        <f t="shared" si="2"/>
        <v>28502</v>
      </c>
      <c r="H43" s="18" t="str">
        <f t="shared" si="0"/>
        <v/>
      </c>
      <c r="I43" s="22" t="str">
        <f t="shared" si="1"/>
        <v/>
      </c>
      <c r="J43" s="20" t="str">
        <f>IF(I43="", "", COUNT($I$12:$I43))</f>
        <v/>
      </c>
      <c r="K43" s="28" t="s">
        <v>61</v>
      </c>
    </row>
    <row r="44" spans="3:11" ht="13.5" customHeight="1" x14ac:dyDescent="0.4">
      <c r="C44" s="26">
        <v>1</v>
      </c>
      <c r="D44" s="26" t="s">
        <v>26</v>
      </c>
      <c r="E44" s="26">
        <v>33</v>
      </c>
      <c r="F44" s="26">
        <v>1147</v>
      </c>
      <c r="G44" s="22">
        <f t="shared" si="2"/>
        <v>29649</v>
      </c>
      <c r="H44" s="18">
        <f t="shared" si="0"/>
        <v>28510.774193548386</v>
      </c>
      <c r="I44" s="22">
        <f t="shared" si="1"/>
        <v>8.7741935483863926</v>
      </c>
      <c r="J44" s="20">
        <f>IF(I44="", "", COUNT($I$12:$I44))</f>
        <v>3</v>
      </c>
      <c r="K44" s="28" t="s">
        <v>62</v>
      </c>
    </row>
    <row r="45" spans="3:11" ht="13.5" customHeight="1" x14ac:dyDescent="0.4">
      <c r="C45" s="26">
        <v>1</v>
      </c>
      <c r="D45" s="26" t="s">
        <v>26</v>
      </c>
      <c r="E45" s="26">
        <v>34</v>
      </c>
      <c r="F45" s="26">
        <v>977</v>
      </c>
      <c r="G45" s="22">
        <f t="shared" si="2"/>
        <v>30626</v>
      </c>
      <c r="H45" s="18" t="str">
        <f t="shared" si="0"/>
        <v/>
      </c>
      <c r="I45" s="22" t="str">
        <f t="shared" si="1"/>
        <v/>
      </c>
      <c r="J45" s="20" t="str">
        <f>IF(I45="", "", COUNT($I$12:$I45))</f>
        <v/>
      </c>
      <c r="K45" s="28" t="s">
        <v>63</v>
      </c>
    </row>
    <row r="46" spans="3:11" ht="13.5" customHeight="1" x14ac:dyDescent="0.4">
      <c r="C46" s="26">
        <v>1</v>
      </c>
      <c r="D46" s="26" t="s">
        <v>26</v>
      </c>
      <c r="E46" s="26">
        <v>35</v>
      </c>
      <c r="F46" s="26">
        <v>1238</v>
      </c>
      <c r="G46" s="22">
        <f t="shared" si="2"/>
        <v>31864</v>
      </c>
      <c r="H46" s="18" t="str">
        <f t="shared" si="0"/>
        <v/>
      </c>
      <c r="I46" s="22" t="str">
        <f t="shared" si="1"/>
        <v/>
      </c>
      <c r="J46" s="20" t="str">
        <f>IF(I46="", "", COUNT($I$12:$I46))</f>
        <v/>
      </c>
      <c r="K46" s="28" t="s">
        <v>64</v>
      </c>
    </row>
    <row r="47" spans="3:11" ht="13.5" customHeight="1" x14ac:dyDescent="0.4">
      <c r="C47" s="26">
        <v>1</v>
      </c>
      <c r="D47" s="26" t="s">
        <v>26</v>
      </c>
      <c r="E47" s="26">
        <v>36</v>
      </c>
      <c r="F47" s="26">
        <v>1304</v>
      </c>
      <c r="G47" s="22">
        <f t="shared" si="2"/>
        <v>33168</v>
      </c>
      <c r="H47" s="18" t="str">
        <f t="shared" si="0"/>
        <v/>
      </c>
      <c r="I47" s="22" t="str">
        <f t="shared" si="1"/>
        <v/>
      </c>
      <c r="J47" s="20" t="str">
        <f>IF(I47="", "", COUNT($I$12:$I47))</f>
        <v/>
      </c>
      <c r="K47" s="28" t="s">
        <v>65</v>
      </c>
    </row>
    <row r="48" spans="3:11" ht="13.5" customHeight="1" x14ac:dyDescent="0.4">
      <c r="C48" s="26">
        <v>1</v>
      </c>
      <c r="D48" s="26" t="s">
        <v>26</v>
      </c>
      <c r="E48" s="26">
        <v>37</v>
      </c>
      <c r="F48" s="26">
        <v>1371</v>
      </c>
      <c r="G48" s="22">
        <f t="shared" si="2"/>
        <v>34539</v>
      </c>
      <c r="H48" s="18" t="str">
        <f t="shared" si="0"/>
        <v/>
      </c>
      <c r="I48" s="22" t="str">
        <f t="shared" si="1"/>
        <v/>
      </c>
      <c r="J48" s="20" t="str">
        <f>IF(I48="", "", COUNT($I$12:$I48))</f>
        <v/>
      </c>
      <c r="K48" s="28" t="s">
        <v>66</v>
      </c>
    </row>
    <row r="49" spans="3:11" ht="13.5" customHeight="1" x14ac:dyDescent="0.4">
      <c r="C49" s="26">
        <v>1</v>
      </c>
      <c r="D49" s="26" t="s">
        <v>26</v>
      </c>
      <c r="E49" s="26">
        <v>38</v>
      </c>
      <c r="F49" s="26">
        <v>979</v>
      </c>
      <c r="G49" s="22">
        <f t="shared" si="2"/>
        <v>35518</v>
      </c>
      <c r="H49" s="18" t="str">
        <f t="shared" si="0"/>
        <v/>
      </c>
      <c r="I49" s="22" t="str">
        <f t="shared" si="1"/>
        <v/>
      </c>
      <c r="J49" s="20" t="str">
        <f>IF(I49="", "", COUNT($I$12:$I49))</f>
        <v/>
      </c>
      <c r="K49" s="28" t="s">
        <v>67</v>
      </c>
    </row>
    <row r="50" spans="3:11" ht="13.5" customHeight="1" x14ac:dyDescent="0.4">
      <c r="C50" s="26">
        <v>1</v>
      </c>
      <c r="D50" s="26" t="s">
        <v>26</v>
      </c>
      <c r="E50" s="26">
        <v>39</v>
      </c>
      <c r="F50" s="26">
        <v>713</v>
      </c>
      <c r="G50" s="22">
        <f t="shared" si="2"/>
        <v>36231</v>
      </c>
      <c r="H50" s="18" t="str">
        <f t="shared" si="0"/>
        <v/>
      </c>
      <c r="I50" s="22" t="str">
        <f t="shared" si="1"/>
        <v/>
      </c>
      <c r="J50" s="20" t="str">
        <f>IF(I50="", "", COUNT($I$12:$I50))</f>
        <v/>
      </c>
      <c r="K50" s="28" t="s">
        <v>68</v>
      </c>
    </row>
    <row r="51" spans="3:11" ht="13.5" customHeight="1" x14ac:dyDescent="0.4">
      <c r="C51" s="26">
        <v>1</v>
      </c>
      <c r="D51" s="26" t="s">
        <v>26</v>
      </c>
      <c r="E51" s="26">
        <v>40</v>
      </c>
      <c r="F51" s="26">
        <v>563</v>
      </c>
      <c r="G51" s="22">
        <f t="shared" si="2"/>
        <v>36794</v>
      </c>
      <c r="H51" s="18" t="str">
        <f t="shared" si="0"/>
        <v/>
      </c>
      <c r="I51" s="22" t="str">
        <f t="shared" si="1"/>
        <v/>
      </c>
      <c r="J51" s="20" t="str">
        <f>IF(I51="", "", COUNT($I$12:$I51))</f>
        <v/>
      </c>
      <c r="K51" s="28" t="s">
        <v>69</v>
      </c>
    </row>
    <row r="52" spans="3:11" ht="13.5" customHeight="1" x14ac:dyDescent="0.4">
      <c r="C52" s="26">
        <v>1</v>
      </c>
      <c r="D52" s="26" t="s">
        <v>26</v>
      </c>
      <c r="E52" s="26">
        <v>41</v>
      </c>
      <c r="F52" s="26">
        <v>802</v>
      </c>
      <c r="G52" s="22">
        <f t="shared" si="2"/>
        <v>37596</v>
      </c>
      <c r="H52" s="18" t="str">
        <f t="shared" si="0"/>
        <v/>
      </c>
      <c r="I52" s="22" t="str">
        <f t="shared" si="1"/>
        <v/>
      </c>
      <c r="J52" s="20" t="str">
        <f>IF(I52="", "", COUNT($I$12:$I52))</f>
        <v/>
      </c>
      <c r="K52" s="28" t="s">
        <v>70</v>
      </c>
    </row>
    <row r="53" spans="3:11" ht="13.5" customHeight="1" x14ac:dyDescent="0.4">
      <c r="C53" s="26">
        <v>1</v>
      </c>
      <c r="D53" s="26" t="s">
        <v>26</v>
      </c>
      <c r="E53" s="26">
        <v>42</v>
      </c>
      <c r="F53" s="26">
        <v>914</v>
      </c>
      <c r="G53" s="22">
        <f t="shared" si="2"/>
        <v>38510</v>
      </c>
      <c r="H53" s="18">
        <f t="shared" si="0"/>
        <v>38007.698924731179</v>
      </c>
      <c r="I53" s="22">
        <f t="shared" si="1"/>
        <v>411.69892473117943</v>
      </c>
      <c r="J53" s="20">
        <f>IF(I53="", "", COUNT($I$12:$I53))</f>
        <v>4</v>
      </c>
      <c r="K53" s="28" t="s">
        <v>71</v>
      </c>
    </row>
    <row r="54" spans="3:11" ht="13.5" customHeight="1" x14ac:dyDescent="0.4">
      <c r="C54" s="26">
        <v>1</v>
      </c>
      <c r="D54" s="26" t="s">
        <v>26</v>
      </c>
      <c r="E54" s="26">
        <v>43</v>
      </c>
      <c r="F54" s="26">
        <v>597</v>
      </c>
      <c r="G54" s="22">
        <f t="shared" si="2"/>
        <v>39107</v>
      </c>
      <c r="H54" s="18" t="str">
        <f t="shared" si="0"/>
        <v/>
      </c>
      <c r="I54" s="22" t="str">
        <f t="shared" si="1"/>
        <v/>
      </c>
      <c r="J54" s="20" t="str">
        <f>IF(I54="", "", COUNT($I$12:$I54))</f>
        <v/>
      </c>
      <c r="K54" s="28" t="s">
        <v>72</v>
      </c>
    </row>
    <row r="55" spans="3:11" ht="13.5" customHeight="1" x14ac:dyDescent="0.4">
      <c r="C55" s="26">
        <v>1</v>
      </c>
      <c r="D55" s="26" t="s">
        <v>26</v>
      </c>
      <c r="E55" s="26">
        <v>44</v>
      </c>
      <c r="F55" s="26">
        <v>680</v>
      </c>
      <c r="G55" s="22">
        <f t="shared" si="2"/>
        <v>39787</v>
      </c>
      <c r="H55" s="18" t="str">
        <f t="shared" si="0"/>
        <v/>
      </c>
      <c r="I55" s="22" t="str">
        <f t="shared" si="1"/>
        <v/>
      </c>
      <c r="J55" s="20" t="str">
        <f>IF(I55="", "", COUNT($I$12:$I55))</f>
        <v/>
      </c>
      <c r="K55" s="28" t="s">
        <v>73</v>
      </c>
    </row>
    <row r="56" spans="3:11" ht="13.5" customHeight="1" x14ac:dyDescent="0.4">
      <c r="C56" s="26">
        <v>1</v>
      </c>
      <c r="D56" s="26" t="s">
        <v>26</v>
      </c>
      <c r="E56" s="26">
        <v>45</v>
      </c>
      <c r="F56" s="26">
        <v>767</v>
      </c>
      <c r="G56" s="22">
        <f t="shared" si="2"/>
        <v>40554</v>
      </c>
      <c r="H56" s="18" t="str">
        <f t="shared" si="0"/>
        <v/>
      </c>
      <c r="I56" s="22" t="str">
        <f t="shared" si="1"/>
        <v/>
      </c>
      <c r="J56" s="20" t="str">
        <f>IF(I56="", "", COUNT($I$12:$I56))</f>
        <v/>
      </c>
      <c r="K56" s="28" t="s">
        <v>74</v>
      </c>
    </row>
    <row r="57" spans="3:11" ht="13.5" customHeight="1" x14ac:dyDescent="0.4">
      <c r="C57" s="26">
        <v>1</v>
      </c>
      <c r="D57" s="26" t="s">
        <v>26</v>
      </c>
      <c r="E57" s="26">
        <v>46</v>
      </c>
      <c r="F57" s="26">
        <v>1547</v>
      </c>
      <c r="G57" s="22">
        <f t="shared" si="2"/>
        <v>42101</v>
      </c>
      <c r="H57" s="18" t="str">
        <f t="shared" si="0"/>
        <v/>
      </c>
      <c r="I57" s="22" t="str">
        <f t="shared" si="1"/>
        <v/>
      </c>
      <c r="J57" s="20" t="str">
        <f>IF(I57="", "", COUNT($I$12:$I57))</f>
        <v/>
      </c>
      <c r="K57" s="28" t="s">
        <v>75</v>
      </c>
    </row>
    <row r="58" spans="3:11" ht="13.5" customHeight="1" x14ac:dyDescent="0.4">
      <c r="C58" s="26">
        <v>1</v>
      </c>
      <c r="D58" s="26" t="s">
        <v>26</v>
      </c>
      <c r="E58" s="26">
        <v>47</v>
      </c>
      <c r="F58" s="26">
        <v>595</v>
      </c>
      <c r="G58" s="22">
        <f t="shared" si="2"/>
        <v>42696</v>
      </c>
      <c r="H58" s="18" t="str">
        <f t="shared" si="0"/>
        <v/>
      </c>
      <c r="I58" s="22" t="str">
        <f t="shared" si="1"/>
        <v/>
      </c>
      <c r="J58" s="20" t="str">
        <f>IF(I58="", "", COUNT($I$12:$I58))</f>
        <v/>
      </c>
      <c r="K58" s="28" t="s">
        <v>76</v>
      </c>
    </row>
    <row r="59" spans="3:11" ht="13.5" customHeight="1" x14ac:dyDescent="0.4">
      <c r="C59" s="26">
        <v>1</v>
      </c>
      <c r="D59" s="26" t="s">
        <v>26</v>
      </c>
      <c r="E59" s="26">
        <v>48</v>
      </c>
      <c r="F59" s="26">
        <v>668</v>
      </c>
      <c r="G59" s="22">
        <f t="shared" si="2"/>
        <v>43364</v>
      </c>
      <c r="H59" s="18" t="str">
        <f t="shared" si="0"/>
        <v/>
      </c>
      <c r="I59" s="22" t="str">
        <f t="shared" si="1"/>
        <v/>
      </c>
      <c r="J59" s="20" t="str">
        <f>IF(I59="", "", COUNT($I$12:$I59))</f>
        <v/>
      </c>
      <c r="K59" s="28" t="s">
        <v>77</v>
      </c>
    </row>
    <row r="60" spans="3:11" ht="13.5" customHeight="1" x14ac:dyDescent="0.4">
      <c r="C60" s="26">
        <v>1</v>
      </c>
      <c r="D60" s="26" t="s">
        <v>26</v>
      </c>
      <c r="E60" s="26">
        <v>49</v>
      </c>
      <c r="F60" s="26">
        <v>1182</v>
      </c>
      <c r="G60" s="22">
        <f t="shared" si="2"/>
        <v>44546</v>
      </c>
      <c r="H60" s="18" t="str">
        <f t="shared" si="0"/>
        <v/>
      </c>
      <c r="I60" s="22" t="str">
        <f t="shared" si="1"/>
        <v/>
      </c>
      <c r="J60" s="20" t="str">
        <f>IF(I60="", "", COUNT($I$12:$I60))</f>
        <v/>
      </c>
      <c r="K60" s="28" t="s">
        <v>78</v>
      </c>
    </row>
    <row r="61" spans="3:11" ht="13.5" customHeight="1" x14ac:dyDescent="0.4">
      <c r="C61" s="26">
        <v>1</v>
      </c>
      <c r="D61" s="26" t="s">
        <v>26</v>
      </c>
      <c r="E61" s="26">
        <v>50</v>
      </c>
      <c r="F61" s="26">
        <v>1117</v>
      </c>
      <c r="G61" s="22">
        <f t="shared" si="2"/>
        <v>45663</v>
      </c>
      <c r="H61" s="18" t="str">
        <f t="shared" si="0"/>
        <v/>
      </c>
      <c r="I61" s="22" t="str">
        <f t="shared" si="1"/>
        <v/>
      </c>
      <c r="J61" s="20" t="str">
        <f>IF(I61="", "", COUNT($I$12:$I61))</f>
        <v/>
      </c>
      <c r="K61" s="28" t="s">
        <v>79</v>
      </c>
    </row>
    <row r="62" spans="3:11" ht="13.5" customHeight="1" x14ac:dyDescent="0.4">
      <c r="C62" s="26">
        <v>1</v>
      </c>
      <c r="D62" s="26" t="s">
        <v>26</v>
      </c>
      <c r="E62" s="26">
        <v>51</v>
      </c>
      <c r="F62" s="26">
        <v>892</v>
      </c>
      <c r="G62" s="22">
        <f t="shared" si="2"/>
        <v>46555</v>
      </c>
      <c r="H62" s="18" t="str">
        <f t="shared" si="0"/>
        <v/>
      </c>
      <c r="I62" s="22" t="str">
        <f t="shared" si="1"/>
        <v/>
      </c>
      <c r="J62" s="20" t="str">
        <f>IF(I62="", "", COUNT($I$12:$I62))</f>
        <v/>
      </c>
      <c r="K62" s="28" t="s">
        <v>80</v>
      </c>
    </row>
    <row r="63" spans="3:11" ht="13.5" customHeight="1" x14ac:dyDescent="0.4">
      <c r="C63" s="26">
        <v>1</v>
      </c>
      <c r="D63" s="26" t="s">
        <v>26</v>
      </c>
      <c r="E63" s="26">
        <v>52</v>
      </c>
      <c r="F63" s="26">
        <v>852</v>
      </c>
      <c r="G63" s="22">
        <f t="shared" si="2"/>
        <v>47407</v>
      </c>
      <c r="H63" s="18" t="str">
        <f t="shared" si="0"/>
        <v/>
      </c>
      <c r="I63" s="22" t="str">
        <f t="shared" si="1"/>
        <v/>
      </c>
      <c r="J63" s="20" t="str">
        <f>IF(I63="", "", COUNT($I$12:$I63))</f>
        <v/>
      </c>
      <c r="K63" s="28" t="s">
        <v>81</v>
      </c>
    </row>
    <row r="64" spans="3:11" ht="13.5" customHeight="1" x14ac:dyDescent="0.4">
      <c r="C64" s="26">
        <v>1</v>
      </c>
      <c r="D64" s="26" t="s">
        <v>26</v>
      </c>
      <c r="E64" s="26">
        <v>53</v>
      </c>
      <c r="F64" s="26">
        <v>1114</v>
      </c>
      <c r="G64" s="22">
        <f t="shared" si="2"/>
        <v>48521</v>
      </c>
      <c r="H64" s="18">
        <f t="shared" si="0"/>
        <v>47504.623655913972</v>
      </c>
      <c r="I64" s="22">
        <f t="shared" si="1"/>
        <v>97.62365591397247</v>
      </c>
      <c r="J64" s="20">
        <f>IF(I64="", "", COUNT($I$12:$I64))</f>
        <v>5</v>
      </c>
      <c r="K64" s="28" t="s">
        <v>82</v>
      </c>
    </row>
    <row r="65" spans="3:11" ht="13.5" customHeight="1" x14ac:dyDescent="0.4">
      <c r="C65" s="26">
        <v>1</v>
      </c>
      <c r="D65" s="26" t="s">
        <v>26</v>
      </c>
      <c r="E65" s="26">
        <v>54</v>
      </c>
      <c r="F65" s="26">
        <v>847</v>
      </c>
      <c r="G65" s="22">
        <f t="shared" si="2"/>
        <v>49368</v>
      </c>
      <c r="H65" s="18" t="str">
        <f t="shared" si="0"/>
        <v/>
      </c>
      <c r="I65" s="22" t="str">
        <f t="shared" si="1"/>
        <v/>
      </c>
      <c r="J65" s="20" t="str">
        <f>IF(I65="", "", COUNT($I$12:$I65))</f>
        <v/>
      </c>
      <c r="K65" s="28" t="s">
        <v>83</v>
      </c>
    </row>
    <row r="66" spans="3:11" ht="13.5" customHeight="1" x14ac:dyDescent="0.4">
      <c r="C66" s="26">
        <v>1</v>
      </c>
      <c r="D66" s="26" t="s">
        <v>26</v>
      </c>
      <c r="E66" s="26">
        <v>55</v>
      </c>
      <c r="F66" s="26">
        <v>780</v>
      </c>
      <c r="G66" s="22">
        <f t="shared" si="2"/>
        <v>50148</v>
      </c>
      <c r="H66" s="18" t="str">
        <f t="shared" si="0"/>
        <v/>
      </c>
      <c r="I66" s="22" t="str">
        <f t="shared" si="1"/>
        <v/>
      </c>
      <c r="J66" s="20" t="str">
        <f>IF(I66="", "", COUNT($I$12:$I66))</f>
        <v/>
      </c>
      <c r="K66" s="28" t="s">
        <v>84</v>
      </c>
    </row>
    <row r="67" spans="3:11" ht="13.5" customHeight="1" x14ac:dyDescent="0.4">
      <c r="C67" s="26">
        <v>1</v>
      </c>
      <c r="D67" s="26" t="s">
        <v>26</v>
      </c>
      <c r="E67" s="26">
        <v>56</v>
      </c>
      <c r="F67" s="26">
        <v>802</v>
      </c>
      <c r="G67" s="22">
        <f t="shared" si="2"/>
        <v>50950</v>
      </c>
      <c r="H67" s="18" t="str">
        <f t="shared" si="0"/>
        <v/>
      </c>
      <c r="I67" s="22" t="str">
        <f t="shared" si="1"/>
        <v/>
      </c>
      <c r="J67" s="20" t="str">
        <f>IF(I67="", "", COUNT($I$12:$I67))</f>
        <v/>
      </c>
      <c r="K67" s="28" t="s">
        <v>85</v>
      </c>
    </row>
    <row r="68" spans="3:11" ht="13.5" customHeight="1" x14ac:dyDescent="0.4">
      <c r="C68" s="26">
        <v>1</v>
      </c>
      <c r="D68" s="26" t="s">
        <v>26</v>
      </c>
      <c r="E68" s="26">
        <v>57</v>
      </c>
      <c r="F68" s="26">
        <v>741</v>
      </c>
      <c r="G68" s="22">
        <f t="shared" si="2"/>
        <v>51691</v>
      </c>
      <c r="H68" s="18" t="str">
        <f t="shared" si="0"/>
        <v/>
      </c>
      <c r="I68" s="22" t="str">
        <f t="shared" si="1"/>
        <v/>
      </c>
      <c r="J68" s="20" t="str">
        <f>IF(I68="", "", COUNT($I$12:$I68))</f>
        <v/>
      </c>
      <c r="K68" s="28" t="s">
        <v>86</v>
      </c>
    </row>
    <row r="69" spans="3:11" ht="13.5" customHeight="1" x14ac:dyDescent="0.4">
      <c r="C69" s="26">
        <v>1</v>
      </c>
      <c r="D69" s="26" t="s">
        <v>26</v>
      </c>
      <c r="E69" s="26">
        <v>58</v>
      </c>
      <c r="F69" s="26">
        <v>922</v>
      </c>
      <c r="G69" s="22">
        <f t="shared" si="2"/>
        <v>52613</v>
      </c>
      <c r="H69" s="18" t="str">
        <f t="shared" si="0"/>
        <v/>
      </c>
      <c r="I69" s="22" t="str">
        <f t="shared" si="1"/>
        <v/>
      </c>
      <c r="J69" s="20" t="str">
        <f>IF(I69="", "", COUNT($I$12:$I69))</f>
        <v/>
      </c>
      <c r="K69" s="28" t="s">
        <v>87</v>
      </c>
    </row>
    <row r="70" spans="3:11" ht="13.5" customHeight="1" x14ac:dyDescent="0.4">
      <c r="C70" s="26">
        <v>1</v>
      </c>
      <c r="D70" s="26" t="s">
        <v>26</v>
      </c>
      <c r="E70" s="26">
        <v>59</v>
      </c>
      <c r="F70" s="26">
        <v>965</v>
      </c>
      <c r="G70" s="22">
        <f t="shared" si="2"/>
        <v>53578</v>
      </c>
      <c r="H70" s="18" t="str">
        <f t="shared" si="0"/>
        <v/>
      </c>
      <c r="I70" s="22" t="str">
        <f t="shared" si="1"/>
        <v/>
      </c>
      <c r="J70" s="20" t="str">
        <f>IF(I70="", "", COUNT($I$12:$I70))</f>
        <v/>
      </c>
      <c r="K70" s="28" t="s">
        <v>88</v>
      </c>
    </row>
    <row r="71" spans="3:11" ht="13.5" customHeight="1" x14ac:dyDescent="0.4">
      <c r="C71" s="26">
        <v>1</v>
      </c>
      <c r="D71" s="26" t="s">
        <v>26</v>
      </c>
      <c r="E71" s="26">
        <v>60</v>
      </c>
      <c r="F71" s="26">
        <v>1280</v>
      </c>
      <c r="G71" s="22">
        <f t="shared" si="2"/>
        <v>54858</v>
      </c>
      <c r="H71" s="18" t="str">
        <f t="shared" si="0"/>
        <v/>
      </c>
      <c r="I71" s="22" t="str">
        <f t="shared" si="1"/>
        <v/>
      </c>
      <c r="J71" s="20" t="str">
        <f>IF(I71="", "", COUNT($I$12:$I71))</f>
        <v/>
      </c>
      <c r="K71" s="28" t="s">
        <v>89</v>
      </c>
    </row>
    <row r="72" spans="3:11" ht="13.5" customHeight="1" x14ac:dyDescent="0.4">
      <c r="C72" s="26">
        <v>1</v>
      </c>
      <c r="D72" s="26" t="s">
        <v>26</v>
      </c>
      <c r="E72" s="26">
        <v>61</v>
      </c>
      <c r="F72" s="26">
        <v>1051</v>
      </c>
      <c r="G72" s="22">
        <f t="shared" si="2"/>
        <v>55909</v>
      </c>
      <c r="H72" s="18" t="str">
        <f t="shared" si="0"/>
        <v/>
      </c>
      <c r="I72" s="22" t="str">
        <f t="shared" si="1"/>
        <v/>
      </c>
      <c r="J72" s="20" t="str">
        <f>IF(I72="", "", COUNT($I$12:$I72))</f>
        <v/>
      </c>
      <c r="K72" s="28" t="s">
        <v>90</v>
      </c>
    </row>
    <row r="73" spans="3:11" ht="13.5" customHeight="1" x14ac:dyDescent="0.4">
      <c r="C73" s="26">
        <v>1</v>
      </c>
      <c r="D73" s="26" t="s">
        <v>26</v>
      </c>
      <c r="E73" s="26">
        <v>62</v>
      </c>
      <c r="F73" s="26">
        <v>728</v>
      </c>
      <c r="G73" s="22">
        <f t="shared" si="2"/>
        <v>56637</v>
      </c>
      <c r="H73" s="18" t="str">
        <f t="shared" si="0"/>
        <v/>
      </c>
      <c r="I73" s="22" t="str">
        <f t="shared" si="1"/>
        <v/>
      </c>
      <c r="J73" s="20" t="str">
        <f>IF(I73="", "", COUNT($I$12:$I73))</f>
        <v/>
      </c>
      <c r="K73" s="28" t="s">
        <v>91</v>
      </c>
    </row>
    <row r="74" spans="3:11" ht="13.5" customHeight="1" x14ac:dyDescent="0.4">
      <c r="C74" s="26">
        <v>1</v>
      </c>
      <c r="D74" s="26" t="s">
        <v>26</v>
      </c>
      <c r="E74" s="26">
        <v>63</v>
      </c>
      <c r="F74" s="26">
        <v>907</v>
      </c>
      <c r="G74" s="22">
        <f t="shared" si="2"/>
        <v>57544</v>
      </c>
      <c r="H74" s="18">
        <f t="shared" si="0"/>
        <v>57001.548387096773</v>
      </c>
      <c r="I74" s="22">
        <f t="shared" si="1"/>
        <v>364.54838709677279</v>
      </c>
      <c r="J74" s="20">
        <f>IF(I74="", "", COUNT($I$12:$I74))</f>
        <v>6</v>
      </c>
      <c r="K74" s="28" t="s">
        <v>92</v>
      </c>
    </row>
    <row r="75" spans="3:11" ht="13.5" customHeight="1" x14ac:dyDescent="0.4">
      <c r="C75" s="26">
        <v>1</v>
      </c>
      <c r="D75" s="26" t="s">
        <v>26</v>
      </c>
      <c r="E75" s="26">
        <v>64</v>
      </c>
      <c r="F75" s="26">
        <v>1477</v>
      </c>
      <c r="G75" s="22">
        <f t="shared" si="2"/>
        <v>59021</v>
      </c>
      <c r="H75" s="18" t="str">
        <f t="shared" si="0"/>
        <v/>
      </c>
      <c r="I75" s="22" t="str">
        <f t="shared" si="1"/>
        <v/>
      </c>
      <c r="J75" s="20" t="str">
        <f>IF(I75="", "", COUNT($I$12:$I75))</f>
        <v/>
      </c>
      <c r="K75" s="28" t="s">
        <v>93</v>
      </c>
    </row>
    <row r="76" spans="3:11" ht="13.5" customHeight="1" x14ac:dyDescent="0.4">
      <c r="C76" s="26">
        <v>1</v>
      </c>
      <c r="D76" s="26" t="s">
        <v>26</v>
      </c>
      <c r="E76" s="26">
        <v>65</v>
      </c>
      <c r="F76" s="26">
        <v>1159</v>
      </c>
      <c r="G76" s="22">
        <f t="shared" si="2"/>
        <v>60180</v>
      </c>
      <c r="H76" s="18" t="str">
        <f t="shared" ref="H76:H139" si="3">IF(AND(G76 &gt;= ($D$5 + ($C$5 * (INT((G76 - $D$5)/$C$5)))), G75 &lt; ($D$5 + ($C$5 * (INT((G76 - $D$5)/$C$5))))), $D$5 + ($C$5 * INT((G76 - $D$5)/$C$5)), "")</f>
        <v/>
      </c>
      <c r="I76" s="22" t="str">
        <f t="shared" ref="I76:I139" si="4">IFERROR(H76-G75, "")</f>
        <v/>
      </c>
      <c r="J76" s="20" t="str">
        <f>IF(I76="", "", COUNT($I$12:$I76))</f>
        <v/>
      </c>
      <c r="K76" s="28" t="s">
        <v>94</v>
      </c>
    </row>
    <row r="77" spans="3:11" ht="13.5" customHeight="1" x14ac:dyDescent="0.4">
      <c r="C77" s="26">
        <v>1</v>
      </c>
      <c r="D77" s="26" t="s">
        <v>26</v>
      </c>
      <c r="E77" s="26">
        <v>66</v>
      </c>
      <c r="F77" s="26">
        <v>855</v>
      </c>
      <c r="G77" s="22">
        <f t="shared" si="2"/>
        <v>61035</v>
      </c>
      <c r="H77" s="18" t="str">
        <f t="shared" si="3"/>
        <v/>
      </c>
      <c r="I77" s="22" t="str">
        <f t="shared" si="4"/>
        <v/>
      </c>
      <c r="J77" s="20" t="str">
        <f>IF(I77="", "", COUNT($I$12:$I77))</f>
        <v/>
      </c>
      <c r="K77" s="28" t="s">
        <v>95</v>
      </c>
    </row>
    <row r="78" spans="3:11" ht="13.5" customHeight="1" x14ac:dyDescent="0.4">
      <c r="C78" s="26">
        <v>1</v>
      </c>
      <c r="D78" s="26" t="s">
        <v>26</v>
      </c>
      <c r="E78" s="26">
        <v>67</v>
      </c>
      <c r="F78" s="26">
        <v>1116</v>
      </c>
      <c r="G78" s="22">
        <f t="shared" ref="G78:G141" si="5">G77+F78</f>
        <v>62151</v>
      </c>
      <c r="H78" s="18" t="str">
        <f t="shared" si="3"/>
        <v/>
      </c>
      <c r="I78" s="22" t="str">
        <f t="shared" si="4"/>
        <v/>
      </c>
      <c r="J78" s="20" t="str">
        <f>IF(I78="", "", COUNT($I$12:$I78))</f>
        <v/>
      </c>
      <c r="K78" s="28" t="s">
        <v>96</v>
      </c>
    </row>
    <row r="79" spans="3:11" ht="13.5" customHeight="1" x14ac:dyDescent="0.4">
      <c r="C79" s="26">
        <v>1</v>
      </c>
      <c r="D79" s="26" t="s">
        <v>26</v>
      </c>
      <c r="E79" s="26">
        <v>68</v>
      </c>
      <c r="F79" s="26">
        <v>1198</v>
      </c>
      <c r="G79" s="22">
        <f t="shared" si="5"/>
        <v>63349</v>
      </c>
      <c r="H79" s="18" t="str">
        <f t="shared" si="3"/>
        <v/>
      </c>
      <c r="I79" s="22" t="str">
        <f t="shared" si="4"/>
        <v/>
      </c>
      <c r="J79" s="20" t="str">
        <f>IF(I79="", "", COUNT($I$12:$I79))</f>
        <v/>
      </c>
      <c r="K79" s="28" t="s">
        <v>97</v>
      </c>
    </row>
    <row r="80" spans="3:11" ht="13.5" customHeight="1" x14ac:dyDescent="0.4">
      <c r="C80" s="26">
        <v>1</v>
      </c>
      <c r="D80" s="26" t="s">
        <v>26</v>
      </c>
      <c r="E80" s="26">
        <v>69</v>
      </c>
      <c r="F80" s="26">
        <v>1033</v>
      </c>
      <c r="G80" s="22">
        <f t="shared" si="5"/>
        <v>64382</v>
      </c>
      <c r="H80" s="18" t="str">
        <f t="shared" si="3"/>
        <v/>
      </c>
      <c r="I80" s="22" t="str">
        <f t="shared" si="4"/>
        <v/>
      </c>
      <c r="J80" s="20" t="str">
        <f>IF(I80="", "", COUNT($I$12:$I80))</f>
        <v/>
      </c>
      <c r="K80" s="28" t="s">
        <v>98</v>
      </c>
    </row>
    <row r="81" spans="3:11" ht="13.5" customHeight="1" x14ac:dyDescent="0.4">
      <c r="C81" s="26">
        <v>1</v>
      </c>
      <c r="D81" s="26" t="s">
        <v>26</v>
      </c>
      <c r="E81" s="26">
        <v>70</v>
      </c>
      <c r="F81" s="26">
        <v>1209</v>
      </c>
      <c r="G81" s="22">
        <f t="shared" si="5"/>
        <v>65591</v>
      </c>
      <c r="H81" s="18" t="str">
        <f t="shared" si="3"/>
        <v/>
      </c>
      <c r="I81" s="22" t="str">
        <f t="shared" si="4"/>
        <v/>
      </c>
      <c r="J81" s="20" t="str">
        <f>IF(I81="", "", COUNT($I$12:$I81))</f>
        <v/>
      </c>
      <c r="K81" s="28" t="s">
        <v>99</v>
      </c>
    </row>
    <row r="82" spans="3:11" ht="13.5" customHeight="1" x14ac:dyDescent="0.4">
      <c r="C82" s="26">
        <v>1</v>
      </c>
      <c r="D82" s="26" t="s">
        <v>26</v>
      </c>
      <c r="E82" s="26">
        <v>71</v>
      </c>
      <c r="F82" s="26">
        <v>984</v>
      </c>
      <c r="G82" s="22">
        <f t="shared" si="5"/>
        <v>66575</v>
      </c>
      <c r="H82" s="18">
        <f t="shared" si="3"/>
        <v>66498.473118279566</v>
      </c>
      <c r="I82" s="22">
        <f t="shared" si="4"/>
        <v>907.47311827956582</v>
      </c>
      <c r="J82" s="20">
        <f>IF(I82="", "", COUNT($I$12:$I82))</f>
        <v>7</v>
      </c>
      <c r="K82" s="28" t="s">
        <v>100</v>
      </c>
    </row>
    <row r="83" spans="3:11" ht="13.5" customHeight="1" x14ac:dyDescent="0.4">
      <c r="C83" s="26">
        <v>1</v>
      </c>
      <c r="D83" s="26" t="s">
        <v>26</v>
      </c>
      <c r="E83" s="26">
        <v>72</v>
      </c>
      <c r="F83" s="26">
        <v>889</v>
      </c>
      <c r="G83" s="22">
        <f t="shared" si="5"/>
        <v>67464</v>
      </c>
      <c r="H83" s="18" t="str">
        <f t="shared" si="3"/>
        <v/>
      </c>
      <c r="I83" s="22" t="str">
        <f t="shared" si="4"/>
        <v/>
      </c>
      <c r="J83" s="20" t="str">
        <f>IF(I83="", "", COUNT($I$12:$I83))</f>
        <v/>
      </c>
      <c r="K83" s="28" t="s">
        <v>101</v>
      </c>
    </row>
    <row r="84" spans="3:11" ht="13.5" customHeight="1" x14ac:dyDescent="0.4">
      <c r="C84" s="26">
        <v>1</v>
      </c>
      <c r="D84" s="26" t="s">
        <v>26</v>
      </c>
      <c r="E84" s="26">
        <v>73</v>
      </c>
      <c r="F84" s="26">
        <v>892</v>
      </c>
      <c r="G84" s="22">
        <f t="shared" si="5"/>
        <v>68356</v>
      </c>
      <c r="H84" s="18" t="str">
        <f t="shared" si="3"/>
        <v/>
      </c>
      <c r="I84" s="22" t="str">
        <f t="shared" si="4"/>
        <v/>
      </c>
      <c r="J84" s="20" t="str">
        <f>IF(I84="", "", COUNT($I$12:$I84))</f>
        <v/>
      </c>
      <c r="K84" s="28" t="s">
        <v>102</v>
      </c>
    </row>
    <row r="85" spans="3:11" ht="13.5" customHeight="1" x14ac:dyDescent="0.4">
      <c r="C85" s="26">
        <v>1</v>
      </c>
      <c r="D85" s="26" t="s">
        <v>26</v>
      </c>
      <c r="E85" s="26">
        <v>74</v>
      </c>
      <c r="F85" s="26">
        <v>726</v>
      </c>
      <c r="G85" s="22">
        <f t="shared" si="5"/>
        <v>69082</v>
      </c>
      <c r="H85" s="18" t="str">
        <f t="shared" si="3"/>
        <v/>
      </c>
      <c r="I85" s="22" t="str">
        <f t="shared" si="4"/>
        <v/>
      </c>
      <c r="J85" s="20" t="str">
        <f>IF(I85="", "", COUNT($I$12:$I85))</f>
        <v/>
      </c>
      <c r="K85" s="28" t="s">
        <v>103</v>
      </c>
    </row>
    <row r="86" spans="3:11" ht="13.5" customHeight="1" x14ac:dyDescent="0.4">
      <c r="C86" s="26">
        <v>1</v>
      </c>
      <c r="D86" s="26" t="s">
        <v>26</v>
      </c>
      <c r="E86" s="26">
        <v>75</v>
      </c>
      <c r="F86" s="26">
        <v>727</v>
      </c>
      <c r="G86" s="22">
        <f t="shared" si="5"/>
        <v>69809</v>
      </c>
      <c r="H86" s="18" t="str">
        <f t="shared" si="3"/>
        <v/>
      </c>
      <c r="I86" s="22" t="str">
        <f t="shared" si="4"/>
        <v/>
      </c>
      <c r="J86" s="20" t="str">
        <f>IF(I86="", "", COUNT($I$12:$I86))</f>
        <v/>
      </c>
      <c r="K86" s="28" t="s">
        <v>104</v>
      </c>
    </row>
    <row r="87" spans="3:11" ht="13.5" customHeight="1" x14ac:dyDescent="0.4">
      <c r="C87" s="26">
        <v>1</v>
      </c>
      <c r="D87" s="26" t="s">
        <v>26</v>
      </c>
      <c r="E87" s="26">
        <v>76</v>
      </c>
      <c r="F87" s="26">
        <v>1091</v>
      </c>
      <c r="G87" s="22">
        <f t="shared" si="5"/>
        <v>70900</v>
      </c>
      <c r="H87" s="18" t="str">
        <f t="shared" si="3"/>
        <v/>
      </c>
      <c r="I87" s="22" t="str">
        <f t="shared" si="4"/>
        <v/>
      </c>
      <c r="J87" s="20" t="str">
        <f>IF(I87="", "", COUNT($I$12:$I87))</f>
        <v/>
      </c>
      <c r="K87" s="28" t="s">
        <v>105</v>
      </c>
    </row>
    <row r="88" spans="3:11" ht="13.5" customHeight="1" x14ac:dyDescent="0.4">
      <c r="C88" s="26">
        <v>1</v>
      </c>
      <c r="D88" s="26" t="s">
        <v>26</v>
      </c>
      <c r="E88" s="26">
        <v>77</v>
      </c>
      <c r="F88" s="26">
        <v>637</v>
      </c>
      <c r="G88" s="22">
        <f t="shared" si="5"/>
        <v>71537</v>
      </c>
      <c r="H88" s="18" t="str">
        <f t="shared" si="3"/>
        <v/>
      </c>
      <c r="I88" s="22" t="str">
        <f t="shared" si="4"/>
        <v/>
      </c>
      <c r="J88" s="20" t="str">
        <f>IF(I88="", "", COUNT($I$12:$I88))</f>
        <v/>
      </c>
      <c r="K88" s="28" t="s">
        <v>106</v>
      </c>
    </row>
    <row r="89" spans="3:11" ht="13.5" customHeight="1" x14ac:dyDescent="0.4">
      <c r="C89" s="26">
        <v>1</v>
      </c>
      <c r="D89" s="26" t="s">
        <v>26</v>
      </c>
      <c r="E89" s="26">
        <v>78</v>
      </c>
      <c r="F89" s="26">
        <v>775</v>
      </c>
      <c r="G89" s="22">
        <f t="shared" si="5"/>
        <v>72312</v>
      </c>
      <c r="H89" s="18" t="str">
        <f t="shared" si="3"/>
        <v/>
      </c>
      <c r="I89" s="22" t="str">
        <f t="shared" si="4"/>
        <v/>
      </c>
      <c r="J89" s="20" t="str">
        <f>IF(I89="", "", COUNT($I$12:$I89))</f>
        <v/>
      </c>
      <c r="K89" s="28" t="s">
        <v>107</v>
      </c>
    </row>
    <row r="90" spans="3:11" ht="13.5" customHeight="1" x14ac:dyDescent="0.4">
      <c r="C90" s="26">
        <v>1</v>
      </c>
      <c r="D90" s="26" t="s">
        <v>26</v>
      </c>
      <c r="E90" s="26">
        <v>79</v>
      </c>
      <c r="F90" s="26">
        <v>884</v>
      </c>
      <c r="G90" s="22">
        <f t="shared" si="5"/>
        <v>73196</v>
      </c>
      <c r="H90" s="18" t="str">
        <f t="shared" si="3"/>
        <v/>
      </c>
      <c r="I90" s="22" t="str">
        <f t="shared" si="4"/>
        <v/>
      </c>
      <c r="J90" s="20" t="str">
        <f>IF(I90="", "", COUNT($I$12:$I90))</f>
        <v/>
      </c>
      <c r="K90" s="28" t="s">
        <v>108</v>
      </c>
    </row>
    <row r="91" spans="3:11" ht="13.5" customHeight="1" x14ac:dyDescent="0.4">
      <c r="C91" s="26">
        <v>1</v>
      </c>
      <c r="D91" s="26" t="s">
        <v>26</v>
      </c>
      <c r="E91" s="26">
        <v>80</v>
      </c>
      <c r="F91" s="26">
        <v>1182</v>
      </c>
      <c r="G91" s="22">
        <f t="shared" si="5"/>
        <v>74378</v>
      </c>
      <c r="H91" s="18" t="str">
        <f t="shared" si="3"/>
        <v/>
      </c>
      <c r="I91" s="22" t="str">
        <f t="shared" si="4"/>
        <v/>
      </c>
      <c r="J91" s="20" t="str">
        <f>IF(I91="", "", COUNT($I$12:$I91))</f>
        <v/>
      </c>
      <c r="K91" s="28" t="s">
        <v>109</v>
      </c>
    </row>
    <row r="92" spans="3:11" ht="13.5" customHeight="1" x14ac:dyDescent="0.4">
      <c r="C92" s="26">
        <v>1</v>
      </c>
      <c r="D92" s="26" t="s">
        <v>26</v>
      </c>
      <c r="E92" s="26">
        <v>81</v>
      </c>
      <c r="F92" s="26">
        <v>840</v>
      </c>
      <c r="G92" s="22">
        <f t="shared" si="5"/>
        <v>75218</v>
      </c>
      <c r="H92" s="18" t="str">
        <f t="shared" si="3"/>
        <v/>
      </c>
      <c r="I92" s="22" t="str">
        <f t="shared" si="4"/>
        <v/>
      </c>
      <c r="J92" s="20" t="str">
        <f>IF(I92="", "", COUNT($I$12:$I92))</f>
        <v/>
      </c>
      <c r="K92" s="28" t="s">
        <v>110</v>
      </c>
    </row>
    <row r="93" spans="3:11" ht="13.5" customHeight="1" x14ac:dyDescent="0.4">
      <c r="C93" s="26">
        <v>1</v>
      </c>
      <c r="D93" s="26" t="s">
        <v>26</v>
      </c>
      <c r="E93" s="26">
        <v>82</v>
      </c>
      <c r="F93" s="26">
        <v>1189</v>
      </c>
      <c r="G93" s="22">
        <f t="shared" si="5"/>
        <v>76407</v>
      </c>
      <c r="H93" s="18">
        <f t="shared" si="3"/>
        <v>75995.397849462359</v>
      </c>
      <c r="I93" s="22">
        <f t="shared" si="4"/>
        <v>777.39784946235886</v>
      </c>
      <c r="J93" s="20">
        <f>IF(I93="", "", COUNT($I$12:$I93))</f>
        <v>8</v>
      </c>
      <c r="K93" s="28" t="s">
        <v>111</v>
      </c>
    </row>
    <row r="94" spans="3:11" ht="13.5" customHeight="1" x14ac:dyDescent="0.4">
      <c r="C94" s="26">
        <v>1</v>
      </c>
      <c r="D94" s="26" t="s">
        <v>26</v>
      </c>
      <c r="E94" s="26">
        <v>83</v>
      </c>
      <c r="F94" s="26">
        <v>1546</v>
      </c>
      <c r="G94" s="22">
        <f t="shared" si="5"/>
        <v>77953</v>
      </c>
      <c r="H94" s="18" t="str">
        <f t="shared" si="3"/>
        <v/>
      </c>
      <c r="I94" s="22" t="str">
        <f t="shared" si="4"/>
        <v/>
      </c>
      <c r="J94" s="20" t="str">
        <f>IF(I94="", "", COUNT($I$12:$I94))</f>
        <v/>
      </c>
      <c r="K94" s="28" t="s">
        <v>112</v>
      </c>
    </row>
    <row r="95" spans="3:11" ht="13.5" customHeight="1" x14ac:dyDescent="0.4">
      <c r="C95" s="26">
        <v>1</v>
      </c>
      <c r="D95" s="26" t="s">
        <v>26</v>
      </c>
      <c r="E95" s="26">
        <v>84</v>
      </c>
      <c r="F95" s="26">
        <v>1009</v>
      </c>
      <c r="G95" s="22">
        <f t="shared" si="5"/>
        <v>78962</v>
      </c>
      <c r="H95" s="18" t="str">
        <f t="shared" si="3"/>
        <v/>
      </c>
      <c r="I95" s="22" t="str">
        <f t="shared" si="4"/>
        <v/>
      </c>
      <c r="J95" s="20" t="str">
        <f>IF(I95="", "", COUNT($I$12:$I95))</f>
        <v/>
      </c>
      <c r="K95" s="28" t="s">
        <v>113</v>
      </c>
    </row>
    <row r="96" spans="3:11" ht="13.5" customHeight="1" x14ac:dyDescent="0.4">
      <c r="C96" s="26">
        <v>1</v>
      </c>
      <c r="D96" s="26" t="s">
        <v>26</v>
      </c>
      <c r="E96" s="26">
        <v>85</v>
      </c>
      <c r="F96" s="26">
        <v>1020</v>
      </c>
      <c r="G96" s="22">
        <f t="shared" si="5"/>
        <v>79982</v>
      </c>
      <c r="H96" s="18" t="str">
        <f t="shared" si="3"/>
        <v/>
      </c>
      <c r="I96" s="22" t="str">
        <f t="shared" si="4"/>
        <v/>
      </c>
      <c r="J96" s="20" t="str">
        <f>IF(I96="", "", COUNT($I$12:$I96))</f>
        <v/>
      </c>
      <c r="K96" s="28" t="s">
        <v>114</v>
      </c>
    </row>
    <row r="97" spans="3:11" ht="13.5" customHeight="1" x14ac:dyDescent="0.4">
      <c r="C97" s="26">
        <v>1</v>
      </c>
      <c r="D97" s="26" t="s">
        <v>26</v>
      </c>
      <c r="E97" s="26">
        <v>86</v>
      </c>
      <c r="F97" s="26">
        <v>595</v>
      </c>
      <c r="G97" s="22">
        <f t="shared" si="5"/>
        <v>80577</v>
      </c>
      <c r="H97" s="18" t="str">
        <f t="shared" si="3"/>
        <v/>
      </c>
      <c r="I97" s="22" t="str">
        <f t="shared" si="4"/>
        <v/>
      </c>
      <c r="J97" s="20" t="str">
        <f>IF(I97="", "", COUNT($I$12:$I97))</f>
        <v/>
      </c>
      <c r="K97" s="28" t="s">
        <v>115</v>
      </c>
    </row>
    <row r="98" spans="3:11" ht="13.5" customHeight="1" x14ac:dyDescent="0.4">
      <c r="C98" s="26">
        <v>1</v>
      </c>
      <c r="D98" s="26" t="s">
        <v>26</v>
      </c>
      <c r="E98" s="26">
        <v>87</v>
      </c>
      <c r="F98" s="26">
        <v>1131</v>
      </c>
      <c r="G98" s="22">
        <f t="shared" si="5"/>
        <v>81708</v>
      </c>
      <c r="H98" s="18" t="str">
        <f t="shared" si="3"/>
        <v/>
      </c>
      <c r="I98" s="22" t="str">
        <f t="shared" si="4"/>
        <v/>
      </c>
      <c r="J98" s="20" t="str">
        <f>IF(I98="", "", COUNT($I$12:$I98))</f>
        <v/>
      </c>
      <c r="K98" s="28" t="s">
        <v>116</v>
      </c>
    </row>
    <row r="99" spans="3:11" ht="13.5" customHeight="1" x14ac:dyDescent="0.4">
      <c r="C99" s="26">
        <v>1</v>
      </c>
      <c r="D99" s="26" t="s">
        <v>26</v>
      </c>
      <c r="E99" s="26">
        <v>88</v>
      </c>
      <c r="F99" s="26">
        <v>739</v>
      </c>
      <c r="G99" s="22">
        <f t="shared" si="5"/>
        <v>82447</v>
      </c>
      <c r="H99" s="18" t="str">
        <f t="shared" si="3"/>
        <v/>
      </c>
      <c r="I99" s="22" t="str">
        <f t="shared" si="4"/>
        <v/>
      </c>
      <c r="J99" s="20" t="str">
        <f>IF(I99="", "", COUNT($I$12:$I99))</f>
        <v/>
      </c>
      <c r="K99" s="28" t="s">
        <v>117</v>
      </c>
    </row>
    <row r="100" spans="3:11" ht="13.5" customHeight="1" x14ac:dyDescent="0.4">
      <c r="C100" s="26">
        <v>1</v>
      </c>
      <c r="D100" s="26" t="s">
        <v>26</v>
      </c>
      <c r="E100" s="26">
        <v>89</v>
      </c>
      <c r="F100" s="26">
        <v>1197</v>
      </c>
      <c r="G100" s="22">
        <f t="shared" si="5"/>
        <v>83644</v>
      </c>
      <c r="H100" s="18" t="str">
        <f t="shared" si="3"/>
        <v/>
      </c>
      <c r="I100" s="22" t="str">
        <f t="shared" si="4"/>
        <v/>
      </c>
      <c r="J100" s="20" t="str">
        <f>IF(I100="", "", COUNT($I$12:$I100))</f>
        <v/>
      </c>
      <c r="K100" s="28" t="s">
        <v>118</v>
      </c>
    </row>
    <row r="101" spans="3:11" ht="13.5" customHeight="1" x14ac:dyDescent="0.4">
      <c r="C101" s="26">
        <v>1</v>
      </c>
      <c r="D101" s="26" t="s">
        <v>26</v>
      </c>
      <c r="E101" s="26">
        <v>90</v>
      </c>
      <c r="F101" s="26">
        <v>823</v>
      </c>
      <c r="G101" s="22">
        <f t="shared" si="5"/>
        <v>84467</v>
      </c>
      <c r="H101" s="18" t="str">
        <f t="shared" si="3"/>
        <v/>
      </c>
      <c r="I101" s="22" t="str">
        <f t="shared" si="4"/>
        <v/>
      </c>
      <c r="J101" s="20" t="str">
        <f>IF(I101="", "", COUNT($I$12:$I101))</f>
        <v/>
      </c>
      <c r="K101" s="28" t="s">
        <v>119</v>
      </c>
    </row>
    <row r="102" spans="3:11" ht="13.5" customHeight="1" x14ac:dyDescent="0.4">
      <c r="C102" s="26">
        <v>1</v>
      </c>
      <c r="D102" s="26" t="s">
        <v>26</v>
      </c>
      <c r="E102" s="26">
        <v>91</v>
      </c>
      <c r="F102" s="26">
        <v>518</v>
      </c>
      <c r="G102" s="22">
        <f t="shared" si="5"/>
        <v>84985</v>
      </c>
      <c r="H102" s="18" t="str">
        <f t="shared" si="3"/>
        <v/>
      </c>
      <c r="I102" s="22" t="str">
        <f t="shared" si="4"/>
        <v/>
      </c>
      <c r="J102" s="20" t="str">
        <f>IF(I102="", "", COUNT($I$12:$I102))</f>
        <v/>
      </c>
      <c r="K102" s="28" t="s">
        <v>120</v>
      </c>
    </row>
    <row r="103" spans="3:11" ht="13.5" customHeight="1" x14ac:dyDescent="0.4">
      <c r="C103" s="26">
        <v>1</v>
      </c>
      <c r="D103" s="26" t="s">
        <v>26</v>
      </c>
      <c r="E103" s="26">
        <v>92</v>
      </c>
      <c r="F103" s="26">
        <v>1139</v>
      </c>
      <c r="G103" s="22">
        <f t="shared" si="5"/>
        <v>86124</v>
      </c>
      <c r="H103" s="18">
        <f t="shared" si="3"/>
        <v>85492.322580645152</v>
      </c>
      <c r="I103" s="22">
        <f t="shared" si="4"/>
        <v>507.3225806451519</v>
      </c>
      <c r="J103" s="20">
        <f>IF(I103="", "", COUNT($I$12:$I103))</f>
        <v>9</v>
      </c>
      <c r="K103" s="28" t="s">
        <v>121</v>
      </c>
    </row>
    <row r="104" spans="3:11" ht="13.5" customHeight="1" x14ac:dyDescent="0.4">
      <c r="C104" s="26">
        <v>1</v>
      </c>
      <c r="D104" s="26" t="s">
        <v>26</v>
      </c>
      <c r="E104" s="26">
        <v>93</v>
      </c>
      <c r="F104" s="26">
        <v>873</v>
      </c>
      <c r="G104" s="22">
        <f t="shared" si="5"/>
        <v>86997</v>
      </c>
      <c r="H104" s="18" t="str">
        <f t="shared" si="3"/>
        <v/>
      </c>
      <c r="I104" s="22" t="str">
        <f t="shared" si="4"/>
        <v/>
      </c>
      <c r="J104" s="20" t="str">
        <f>IF(I104="", "", COUNT($I$12:$I104))</f>
        <v/>
      </c>
      <c r="K104" s="28" t="s">
        <v>122</v>
      </c>
    </row>
    <row r="105" spans="3:11" ht="13.5" customHeight="1" x14ac:dyDescent="0.4">
      <c r="C105" s="26">
        <v>1</v>
      </c>
      <c r="D105" s="26" t="s">
        <v>26</v>
      </c>
      <c r="E105" s="26">
        <v>94</v>
      </c>
      <c r="F105" s="26">
        <v>597</v>
      </c>
      <c r="G105" s="22">
        <f t="shared" si="5"/>
        <v>87594</v>
      </c>
      <c r="H105" s="18" t="str">
        <f t="shared" si="3"/>
        <v/>
      </c>
      <c r="I105" s="22" t="str">
        <f t="shared" si="4"/>
        <v/>
      </c>
      <c r="J105" s="20" t="str">
        <f>IF(I105="", "", COUNT($I$12:$I105))</f>
        <v/>
      </c>
      <c r="K105" s="28" t="s">
        <v>123</v>
      </c>
    </row>
    <row r="106" spans="3:11" ht="13.5" customHeight="1" x14ac:dyDescent="0.4">
      <c r="C106" s="26">
        <v>1</v>
      </c>
      <c r="D106" s="26" t="s">
        <v>26</v>
      </c>
      <c r="E106" s="26">
        <v>95</v>
      </c>
      <c r="F106" s="26">
        <v>679</v>
      </c>
      <c r="G106" s="22">
        <f t="shared" si="5"/>
        <v>88273</v>
      </c>
      <c r="H106" s="18" t="str">
        <f t="shared" si="3"/>
        <v/>
      </c>
      <c r="I106" s="22" t="str">
        <f t="shared" si="4"/>
        <v/>
      </c>
      <c r="J106" s="20" t="str">
        <f>IF(I106="", "", COUNT($I$12:$I106))</f>
        <v/>
      </c>
      <c r="K106" s="28" t="s">
        <v>124</v>
      </c>
    </row>
    <row r="107" spans="3:11" ht="13.5" customHeight="1" x14ac:dyDescent="0.4">
      <c r="C107" s="26">
        <v>1</v>
      </c>
      <c r="D107" s="26" t="s">
        <v>26</v>
      </c>
      <c r="E107" s="26">
        <v>96</v>
      </c>
      <c r="F107" s="26">
        <v>919</v>
      </c>
      <c r="G107" s="22">
        <f t="shared" si="5"/>
        <v>89192</v>
      </c>
      <c r="H107" s="18" t="str">
        <f t="shared" si="3"/>
        <v/>
      </c>
      <c r="I107" s="22" t="str">
        <f t="shared" si="4"/>
        <v/>
      </c>
      <c r="J107" s="20" t="str">
        <f>IF(I107="", "", COUNT($I$12:$I107))</f>
        <v/>
      </c>
      <c r="K107" s="28" t="s">
        <v>125</v>
      </c>
    </row>
    <row r="108" spans="3:11" ht="13.5" customHeight="1" x14ac:dyDescent="0.4">
      <c r="C108" s="26">
        <v>1</v>
      </c>
      <c r="D108" s="26" t="s">
        <v>26</v>
      </c>
      <c r="E108" s="26">
        <v>97</v>
      </c>
      <c r="F108" s="26">
        <v>734</v>
      </c>
      <c r="G108" s="22">
        <f t="shared" si="5"/>
        <v>89926</v>
      </c>
      <c r="H108" s="18" t="str">
        <f t="shared" si="3"/>
        <v/>
      </c>
      <c r="I108" s="22" t="str">
        <f t="shared" si="4"/>
        <v/>
      </c>
      <c r="J108" s="20" t="str">
        <f>IF(I108="", "", COUNT($I$12:$I108))</f>
        <v/>
      </c>
      <c r="K108" s="28" t="s">
        <v>126</v>
      </c>
    </row>
    <row r="109" spans="3:11" ht="13.5" customHeight="1" x14ac:dyDescent="0.4">
      <c r="C109" s="26">
        <v>1</v>
      </c>
      <c r="D109" s="26" t="s">
        <v>26</v>
      </c>
      <c r="E109" s="26">
        <v>98</v>
      </c>
      <c r="F109" s="26">
        <v>821</v>
      </c>
      <c r="G109" s="22">
        <f t="shared" si="5"/>
        <v>90747</v>
      </c>
      <c r="H109" s="18" t="str">
        <f t="shared" si="3"/>
        <v/>
      </c>
      <c r="I109" s="22" t="str">
        <f t="shared" si="4"/>
        <v/>
      </c>
      <c r="J109" s="20" t="str">
        <f>IF(I109="", "", COUNT($I$12:$I109))</f>
        <v/>
      </c>
      <c r="K109" s="28" t="s">
        <v>127</v>
      </c>
    </row>
    <row r="110" spans="3:11" ht="13.5" customHeight="1" x14ac:dyDescent="0.4">
      <c r="C110" s="26">
        <v>1</v>
      </c>
      <c r="D110" s="26" t="s">
        <v>26</v>
      </c>
      <c r="E110" s="26">
        <v>99</v>
      </c>
      <c r="F110" s="26">
        <v>688</v>
      </c>
      <c r="G110" s="22">
        <f t="shared" si="5"/>
        <v>91435</v>
      </c>
      <c r="H110" s="18" t="str">
        <f t="shared" si="3"/>
        <v/>
      </c>
      <c r="I110" s="22" t="str">
        <f t="shared" si="4"/>
        <v/>
      </c>
      <c r="J110" s="20" t="str">
        <f>IF(I110="", "", COUNT($I$12:$I110))</f>
        <v/>
      </c>
      <c r="K110" s="28" t="s">
        <v>128</v>
      </c>
    </row>
    <row r="111" spans="3:11" ht="13.5" customHeight="1" x14ac:dyDescent="0.4">
      <c r="C111" s="26">
        <v>1</v>
      </c>
      <c r="D111" s="26" t="s">
        <v>26</v>
      </c>
      <c r="E111" s="26">
        <v>100</v>
      </c>
      <c r="F111" s="26">
        <v>902</v>
      </c>
      <c r="G111" s="22">
        <f t="shared" si="5"/>
        <v>92337</v>
      </c>
      <c r="H111" s="18" t="str">
        <f t="shared" si="3"/>
        <v/>
      </c>
      <c r="I111" s="22" t="str">
        <f t="shared" si="4"/>
        <v/>
      </c>
      <c r="J111" s="20" t="str">
        <f>IF(I111="", "", COUNT($I$12:$I111))</f>
        <v/>
      </c>
      <c r="K111" s="28" t="s">
        <v>129</v>
      </c>
    </row>
    <row r="112" spans="3:11" ht="13.5" customHeight="1" x14ac:dyDescent="0.4">
      <c r="C112" s="26">
        <v>1</v>
      </c>
      <c r="D112" s="26" t="s">
        <v>26</v>
      </c>
      <c r="E112" s="26">
        <v>101</v>
      </c>
      <c r="F112" s="26">
        <v>698</v>
      </c>
      <c r="G112" s="22">
        <f t="shared" si="5"/>
        <v>93035</v>
      </c>
      <c r="H112" s="18" t="str">
        <f t="shared" si="3"/>
        <v/>
      </c>
      <c r="I112" s="22" t="str">
        <f t="shared" si="4"/>
        <v/>
      </c>
      <c r="J112" s="20" t="str">
        <f>IF(I112="", "", COUNT($I$12:$I112))</f>
        <v/>
      </c>
      <c r="K112" s="28" t="s">
        <v>130</v>
      </c>
    </row>
    <row r="113" spans="3:11" ht="13.5" customHeight="1" x14ac:dyDescent="0.4">
      <c r="C113" s="26">
        <v>1</v>
      </c>
      <c r="D113" s="26" t="s">
        <v>26</v>
      </c>
      <c r="E113" s="26">
        <v>102</v>
      </c>
      <c r="F113" s="26">
        <v>755</v>
      </c>
      <c r="G113" s="22">
        <f t="shared" si="5"/>
        <v>93790</v>
      </c>
      <c r="H113" s="18" t="str">
        <f t="shared" si="3"/>
        <v/>
      </c>
      <c r="I113" s="22" t="str">
        <f t="shared" si="4"/>
        <v/>
      </c>
      <c r="J113" s="20" t="str">
        <f>IF(I113="", "", COUNT($I$12:$I113))</f>
        <v/>
      </c>
      <c r="K113" s="28" t="s">
        <v>131</v>
      </c>
    </row>
    <row r="114" spans="3:11" ht="13.5" customHeight="1" x14ac:dyDescent="0.4">
      <c r="C114" s="26">
        <v>1</v>
      </c>
      <c r="D114" s="26" t="s">
        <v>26</v>
      </c>
      <c r="E114" s="26">
        <v>103</v>
      </c>
      <c r="F114" s="26">
        <v>953</v>
      </c>
      <c r="G114" s="22">
        <f t="shared" si="5"/>
        <v>94743</v>
      </c>
      <c r="H114" s="18" t="str">
        <f t="shared" si="3"/>
        <v/>
      </c>
      <c r="I114" s="22" t="str">
        <f t="shared" si="4"/>
        <v/>
      </c>
      <c r="J114" s="20" t="str">
        <f>IF(I114="", "", COUNT($I$12:$I114))</f>
        <v/>
      </c>
      <c r="K114" s="28" t="s">
        <v>132</v>
      </c>
    </row>
    <row r="115" spans="3:11" ht="13.5" customHeight="1" x14ac:dyDescent="0.4">
      <c r="C115" s="26">
        <v>1</v>
      </c>
      <c r="D115" s="26" t="s">
        <v>26</v>
      </c>
      <c r="E115" s="26">
        <v>104</v>
      </c>
      <c r="F115" s="26">
        <v>847</v>
      </c>
      <c r="G115" s="22">
        <f t="shared" si="5"/>
        <v>95590</v>
      </c>
      <c r="H115" s="18">
        <f t="shared" si="3"/>
        <v>94989.247311827945</v>
      </c>
      <c r="I115" s="22">
        <f t="shared" si="4"/>
        <v>246.24731182794494</v>
      </c>
      <c r="J115" s="20">
        <f>IF(I115="", "", COUNT($I$12:$I115))</f>
        <v>10</v>
      </c>
      <c r="K115" s="28" t="s">
        <v>133</v>
      </c>
    </row>
    <row r="116" spans="3:11" ht="13.5" customHeight="1" x14ac:dyDescent="0.4">
      <c r="C116" s="26">
        <v>1</v>
      </c>
      <c r="D116" s="26" t="s">
        <v>26</v>
      </c>
      <c r="E116" s="26">
        <v>105</v>
      </c>
      <c r="F116" s="26">
        <v>911</v>
      </c>
      <c r="G116" s="22">
        <f t="shared" si="5"/>
        <v>96501</v>
      </c>
      <c r="H116" s="18" t="str">
        <f t="shared" si="3"/>
        <v/>
      </c>
      <c r="I116" s="22" t="str">
        <f t="shared" si="4"/>
        <v/>
      </c>
      <c r="J116" s="20" t="str">
        <f>IF(I116="", "", COUNT($I$12:$I116))</f>
        <v/>
      </c>
      <c r="K116" s="28" t="s">
        <v>134</v>
      </c>
    </row>
    <row r="117" spans="3:11" ht="13.5" customHeight="1" x14ac:dyDescent="0.4">
      <c r="C117" s="26">
        <v>1</v>
      </c>
      <c r="D117" s="26" t="s">
        <v>26</v>
      </c>
      <c r="E117" s="26">
        <v>106</v>
      </c>
      <c r="F117" s="26">
        <v>998</v>
      </c>
      <c r="G117" s="22">
        <f t="shared" si="5"/>
        <v>97499</v>
      </c>
      <c r="H117" s="18" t="str">
        <f t="shared" si="3"/>
        <v/>
      </c>
      <c r="I117" s="22" t="str">
        <f t="shared" si="4"/>
        <v/>
      </c>
      <c r="J117" s="20" t="str">
        <f>IF(I117="", "", COUNT($I$12:$I117))</f>
        <v/>
      </c>
      <c r="K117" s="28" t="s">
        <v>135</v>
      </c>
    </row>
    <row r="118" spans="3:11" ht="13.5" customHeight="1" x14ac:dyDescent="0.4">
      <c r="C118" s="26">
        <v>1</v>
      </c>
      <c r="D118" s="26" t="s">
        <v>26</v>
      </c>
      <c r="E118" s="26">
        <v>107</v>
      </c>
      <c r="F118" s="26">
        <v>622</v>
      </c>
      <c r="G118" s="22">
        <f t="shared" si="5"/>
        <v>98121</v>
      </c>
      <c r="H118" s="18" t="str">
        <f t="shared" si="3"/>
        <v/>
      </c>
      <c r="I118" s="22" t="str">
        <f t="shared" si="4"/>
        <v/>
      </c>
      <c r="J118" s="20" t="str">
        <f>IF(I118="", "", COUNT($I$12:$I118))</f>
        <v/>
      </c>
      <c r="K118" s="28" t="s">
        <v>136</v>
      </c>
    </row>
    <row r="119" spans="3:11" ht="13.5" customHeight="1" x14ac:dyDescent="0.4">
      <c r="C119" s="26">
        <v>1</v>
      </c>
      <c r="D119" s="26" t="s">
        <v>26</v>
      </c>
      <c r="E119" s="26">
        <v>108</v>
      </c>
      <c r="F119" s="26">
        <v>786</v>
      </c>
      <c r="G119" s="22">
        <f t="shared" si="5"/>
        <v>98907</v>
      </c>
      <c r="H119" s="18" t="str">
        <f t="shared" si="3"/>
        <v/>
      </c>
      <c r="I119" s="22" t="str">
        <f t="shared" si="4"/>
        <v/>
      </c>
      <c r="J119" s="20" t="str">
        <f>IF(I119="", "", COUNT($I$12:$I119))</f>
        <v/>
      </c>
      <c r="K119" s="28" t="s">
        <v>137</v>
      </c>
    </row>
    <row r="120" spans="3:11" ht="13.5" customHeight="1" x14ac:dyDescent="0.4">
      <c r="C120" s="26">
        <v>1</v>
      </c>
      <c r="D120" s="26" t="s">
        <v>26</v>
      </c>
      <c r="E120" s="26">
        <v>109</v>
      </c>
      <c r="F120" s="26">
        <v>678</v>
      </c>
      <c r="G120" s="22">
        <f t="shared" si="5"/>
        <v>99585</v>
      </c>
      <c r="H120" s="18" t="str">
        <f t="shared" si="3"/>
        <v/>
      </c>
      <c r="I120" s="22" t="str">
        <f t="shared" si="4"/>
        <v/>
      </c>
      <c r="J120" s="20" t="str">
        <f>IF(I120="", "", COUNT($I$12:$I120))</f>
        <v/>
      </c>
      <c r="K120" s="28" t="s">
        <v>138</v>
      </c>
    </row>
    <row r="121" spans="3:11" ht="13.5" customHeight="1" x14ac:dyDescent="0.4">
      <c r="C121" s="26">
        <v>1</v>
      </c>
      <c r="D121" s="26" t="s">
        <v>26</v>
      </c>
      <c r="E121" s="26">
        <v>110</v>
      </c>
      <c r="F121" s="26">
        <v>746</v>
      </c>
      <c r="G121" s="22">
        <f t="shared" si="5"/>
        <v>100331</v>
      </c>
      <c r="H121" s="18" t="str">
        <f t="shared" si="3"/>
        <v/>
      </c>
      <c r="I121" s="22" t="str">
        <f t="shared" si="4"/>
        <v/>
      </c>
      <c r="J121" s="20" t="str">
        <f>IF(I121="", "", COUNT($I$12:$I121))</f>
        <v/>
      </c>
      <c r="K121" s="28" t="s">
        <v>139</v>
      </c>
    </row>
    <row r="122" spans="3:11" ht="13.5" customHeight="1" x14ac:dyDescent="0.4">
      <c r="C122" s="26">
        <v>1</v>
      </c>
      <c r="D122" s="26" t="s">
        <v>26</v>
      </c>
      <c r="E122" s="26">
        <v>111</v>
      </c>
      <c r="F122" s="26">
        <v>605</v>
      </c>
      <c r="G122" s="22">
        <f t="shared" si="5"/>
        <v>100936</v>
      </c>
      <c r="H122" s="18" t="str">
        <f t="shared" si="3"/>
        <v/>
      </c>
      <c r="I122" s="22" t="str">
        <f t="shared" si="4"/>
        <v/>
      </c>
      <c r="J122" s="20" t="str">
        <f>IF(I122="", "", COUNT($I$12:$I122))</f>
        <v/>
      </c>
      <c r="K122" s="28" t="s">
        <v>140</v>
      </c>
    </row>
    <row r="123" spans="3:11" ht="13.5" customHeight="1" x14ac:dyDescent="0.4">
      <c r="C123" s="26">
        <v>1</v>
      </c>
      <c r="D123" s="26" t="s">
        <v>26</v>
      </c>
      <c r="E123" s="26">
        <v>112</v>
      </c>
      <c r="F123" s="26">
        <v>706</v>
      </c>
      <c r="G123" s="22">
        <f t="shared" si="5"/>
        <v>101642</v>
      </c>
      <c r="H123" s="18" t="str">
        <f t="shared" si="3"/>
        <v/>
      </c>
      <c r="I123" s="22" t="str">
        <f t="shared" si="4"/>
        <v/>
      </c>
      <c r="J123" s="20" t="str">
        <f>IF(I123="", "", COUNT($I$12:$I123))</f>
        <v/>
      </c>
      <c r="K123" s="28" t="s">
        <v>141</v>
      </c>
    </row>
    <row r="124" spans="3:11" ht="13.5" customHeight="1" x14ac:dyDescent="0.4">
      <c r="C124" s="26">
        <v>1</v>
      </c>
      <c r="D124" s="26" t="s">
        <v>26</v>
      </c>
      <c r="E124" s="26">
        <v>113</v>
      </c>
      <c r="F124" s="26">
        <v>786</v>
      </c>
      <c r="G124" s="22">
        <f t="shared" si="5"/>
        <v>102428</v>
      </c>
      <c r="H124" s="18" t="str">
        <f t="shared" si="3"/>
        <v/>
      </c>
      <c r="I124" s="22" t="str">
        <f t="shared" si="4"/>
        <v/>
      </c>
      <c r="J124" s="20" t="str">
        <f>IF(I124="", "", COUNT($I$12:$I124))</f>
        <v/>
      </c>
      <c r="K124" s="28" t="s">
        <v>142</v>
      </c>
    </row>
    <row r="125" spans="3:11" ht="13.5" customHeight="1" x14ac:dyDescent="0.4">
      <c r="C125" s="26">
        <v>1</v>
      </c>
      <c r="D125" s="26" t="s">
        <v>26</v>
      </c>
      <c r="E125" s="26">
        <v>114</v>
      </c>
      <c r="F125" s="26">
        <v>996</v>
      </c>
      <c r="G125" s="22">
        <f t="shared" si="5"/>
        <v>103424</v>
      </c>
      <c r="H125" s="18" t="str">
        <f t="shared" si="3"/>
        <v/>
      </c>
      <c r="I125" s="22" t="str">
        <f t="shared" si="4"/>
        <v/>
      </c>
      <c r="J125" s="20" t="str">
        <f>IF(I125="", "", COUNT($I$12:$I125))</f>
        <v/>
      </c>
      <c r="K125" s="28" t="s">
        <v>143</v>
      </c>
    </row>
    <row r="126" spans="3:11" ht="13.5" customHeight="1" x14ac:dyDescent="0.4">
      <c r="C126" s="26">
        <v>1</v>
      </c>
      <c r="D126" s="26" t="s">
        <v>26</v>
      </c>
      <c r="E126" s="26">
        <v>115</v>
      </c>
      <c r="F126" s="26">
        <v>498</v>
      </c>
      <c r="G126" s="22">
        <f t="shared" si="5"/>
        <v>103922</v>
      </c>
      <c r="H126" s="18" t="str">
        <f t="shared" si="3"/>
        <v/>
      </c>
      <c r="I126" s="22" t="str">
        <f t="shared" si="4"/>
        <v/>
      </c>
      <c r="J126" s="20" t="str">
        <f>IF(I126="", "", COUNT($I$12:$I126))</f>
        <v/>
      </c>
      <c r="K126" s="28" t="s">
        <v>144</v>
      </c>
    </row>
    <row r="127" spans="3:11" ht="13.5" customHeight="1" x14ac:dyDescent="0.4">
      <c r="C127" s="26">
        <v>1</v>
      </c>
      <c r="D127" s="26" t="s">
        <v>26</v>
      </c>
      <c r="E127" s="26">
        <v>116</v>
      </c>
      <c r="F127" s="26">
        <v>885</v>
      </c>
      <c r="G127" s="22">
        <f t="shared" si="5"/>
        <v>104807</v>
      </c>
      <c r="H127" s="18">
        <f t="shared" si="3"/>
        <v>104486.17204301074</v>
      </c>
      <c r="I127" s="22">
        <f t="shared" si="4"/>
        <v>564.17204301073798</v>
      </c>
      <c r="J127" s="20">
        <f>IF(I127="", "", COUNT($I$12:$I127))</f>
        <v>11</v>
      </c>
      <c r="K127" s="28" t="s">
        <v>145</v>
      </c>
    </row>
    <row r="128" spans="3:11" ht="13.5" customHeight="1" x14ac:dyDescent="0.4">
      <c r="C128" s="26">
        <v>1</v>
      </c>
      <c r="D128" s="26" t="s">
        <v>26</v>
      </c>
      <c r="E128" s="26">
        <v>117</v>
      </c>
      <c r="F128" s="26">
        <v>677</v>
      </c>
      <c r="G128" s="22">
        <f t="shared" si="5"/>
        <v>105484</v>
      </c>
      <c r="H128" s="18" t="str">
        <f t="shared" si="3"/>
        <v/>
      </c>
      <c r="I128" s="22" t="str">
        <f t="shared" si="4"/>
        <v/>
      </c>
      <c r="J128" s="20" t="str">
        <f>IF(I128="", "", COUNT($I$12:$I128))</f>
        <v/>
      </c>
      <c r="K128" s="28" t="s">
        <v>146</v>
      </c>
    </row>
    <row r="129" spans="3:11" ht="13.5" customHeight="1" x14ac:dyDescent="0.4">
      <c r="C129" s="26">
        <v>1</v>
      </c>
      <c r="D129" s="26" t="s">
        <v>26</v>
      </c>
      <c r="E129" s="26">
        <v>118</v>
      </c>
      <c r="F129" s="26">
        <v>782</v>
      </c>
      <c r="G129" s="22">
        <f t="shared" si="5"/>
        <v>106266</v>
      </c>
      <c r="H129" s="18" t="str">
        <f t="shared" si="3"/>
        <v/>
      </c>
      <c r="I129" s="22" t="str">
        <f t="shared" si="4"/>
        <v/>
      </c>
      <c r="J129" s="20" t="str">
        <f>IF(I129="", "", COUNT($I$12:$I129))</f>
        <v/>
      </c>
      <c r="K129" s="28" t="s">
        <v>147</v>
      </c>
    </row>
    <row r="130" spans="3:11" ht="13.5" customHeight="1" x14ac:dyDescent="0.4">
      <c r="C130" s="26">
        <v>1</v>
      </c>
      <c r="D130" s="26" t="s">
        <v>26</v>
      </c>
      <c r="E130" s="26">
        <v>119</v>
      </c>
      <c r="F130" s="26">
        <v>809</v>
      </c>
      <c r="G130" s="22">
        <f t="shared" si="5"/>
        <v>107075</v>
      </c>
      <c r="H130" s="18" t="str">
        <f t="shared" si="3"/>
        <v/>
      </c>
      <c r="I130" s="22" t="str">
        <f t="shared" si="4"/>
        <v/>
      </c>
      <c r="J130" s="20" t="str">
        <f>IF(I130="", "", COUNT($I$12:$I130))</f>
        <v/>
      </c>
      <c r="K130" s="28" t="s">
        <v>148</v>
      </c>
    </row>
    <row r="131" spans="3:11" ht="13.5" customHeight="1" x14ac:dyDescent="0.4">
      <c r="C131" s="26">
        <v>1</v>
      </c>
      <c r="D131" s="26" t="s">
        <v>26</v>
      </c>
      <c r="E131" s="26">
        <v>120</v>
      </c>
      <c r="F131" s="26">
        <v>1047</v>
      </c>
      <c r="G131" s="22">
        <f t="shared" si="5"/>
        <v>108122</v>
      </c>
      <c r="H131" s="18" t="str">
        <f t="shared" si="3"/>
        <v/>
      </c>
      <c r="I131" s="22" t="str">
        <f t="shared" si="4"/>
        <v/>
      </c>
      <c r="J131" s="20" t="str">
        <f>IF(I131="", "", COUNT($I$12:$I131))</f>
        <v/>
      </c>
      <c r="K131" s="28" t="s">
        <v>149</v>
      </c>
    </row>
    <row r="132" spans="3:11" ht="13.5" customHeight="1" x14ac:dyDescent="0.4">
      <c r="C132" s="26">
        <v>1</v>
      </c>
      <c r="D132" s="26" t="s">
        <v>26</v>
      </c>
      <c r="E132" s="26">
        <v>121</v>
      </c>
      <c r="F132" s="26">
        <v>854</v>
      </c>
      <c r="G132" s="22">
        <f t="shared" si="5"/>
        <v>108976</v>
      </c>
      <c r="H132" s="18" t="str">
        <f t="shared" si="3"/>
        <v/>
      </c>
      <c r="I132" s="22" t="str">
        <f t="shared" si="4"/>
        <v/>
      </c>
      <c r="J132" s="20" t="str">
        <f>IF(I132="", "", COUNT($I$12:$I132))</f>
        <v/>
      </c>
      <c r="K132" s="28" t="s">
        <v>150</v>
      </c>
    </row>
    <row r="133" spans="3:11" ht="13.5" customHeight="1" x14ac:dyDescent="0.4">
      <c r="C133" s="26">
        <v>1</v>
      </c>
      <c r="D133" s="26" t="s">
        <v>26</v>
      </c>
      <c r="E133" s="26">
        <v>122</v>
      </c>
      <c r="F133" s="26">
        <v>1296</v>
      </c>
      <c r="G133" s="22">
        <f t="shared" si="5"/>
        <v>110272</v>
      </c>
      <c r="H133" s="18" t="str">
        <f t="shared" si="3"/>
        <v/>
      </c>
      <c r="I133" s="22" t="str">
        <f t="shared" si="4"/>
        <v/>
      </c>
      <c r="J133" s="20" t="str">
        <f>IF(I133="", "", COUNT($I$12:$I133))</f>
        <v/>
      </c>
      <c r="K133" s="28" t="s">
        <v>151</v>
      </c>
    </row>
    <row r="134" spans="3:11" ht="13.5" customHeight="1" x14ac:dyDescent="0.4">
      <c r="C134" s="26">
        <v>1</v>
      </c>
      <c r="D134" s="26" t="s">
        <v>26</v>
      </c>
      <c r="E134" s="26">
        <v>123</v>
      </c>
      <c r="F134" s="26">
        <v>791</v>
      </c>
      <c r="G134" s="22">
        <f t="shared" si="5"/>
        <v>111063</v>
      </c>
      <c r="H134" s="18" t="str">
        <f t="shared" si="3"/>
        <v/>
      </c>
      <c r="I134" s="22" t="str">
        <f t="shared" si="4"/>
        <v/>
      </c>
      <c r="J134" s="20" t="str">
        <f>IF(I134="", "", COUNT($I$12:$I134))</f>
        <v/>
      </c>
      <c r="K134" s="28" t="s">
        <v>152</v>
      </c>
    </row>
    <row r="135" spans="3:11" ht="13.5" customHeight="1" x14ac:dyDescent="0.4">
      <c r="C135" s="26">
        <v>1</v>
      </c>
      <c r="D135" s="26" t="s">
        <v>26</v>
      </c>
      <c r="E135" s="26">
        <v>124</v>
      </c>
      <c r="F135" s="26">
        <v>694</v>
      </c>
      <c r="G135" s="22">
        <f t="shared" si="5"/>
        <v>111757</v>
      </c>
      <c r="H135" s="18" t="str">
        <f t="shared" si="3"/>
        <v/>
      </c>
      <c r="I135" s="22" t="str">
        <f t="shared" si="4"/>
        <v/>
      </c>
      <c r="J135" s="20" t="str">
        <f>IF(I135="", "", COUNT($I$12:$I135))</f>
        <v/>
      </c>
      <c r="K135" s="28" t="s">
        <v>153</v>
      </c>
    </row>
    <row r="136" spans="3:11" ht="13.5" customHeight="1" x14ac:dyDescent="0.4">
      <c r="C136" s="26">
        <v>1</v>
      </c>
      <c r="D136" s="26" t="s">
        <v>26</v>
      </c>
      <c r="E136" s="26">
        <v>125</v>
      </c>
      <c r="F136" s="26">
        <v>1037</v>
      </c>
      <c r="G136" s="22">
        <f t="shared" si="5"/>
        <v>112794</v>
      </c>
      <c r="H136" s="18" t="str">
        <f t="shared" si="3"/>
        <v/>
      </c>
      <c r="I136" s="22" t="str">
        <f t="shared" si="4"/>
        <v/>
      </c>
      <c r="J136" s="20" t="str">
        <f>IF(I136="", "", COUNT($I$12:$I136))</f>
        <v/>
      </c>
      <c r="K136" s="28" t="s">
        <v>154</v>
      </c>
    </row>
    <row r="137" spans="3:11" ht="13.5" customHeight="1" x14ac:dyDescent="0.4">
      <c r="C137" s="26">
        <v>1</v>
      </c>
      <c r="D137" s="26" t="s">
        <v>26</v>
      </c>
      <c r="E137" s="26">
        <v>126</v>
      </c>
      <c r="F137" s="26">
        <v>882</v>
      </c>
      <c r="G137" s="22">
        <f t="shared" si="5"/>
        <v>113676</v>
      </c>
      <c r="H137" s="18" t="str">
        <f t="shared" si="3"/>
        <v/>
      </c>
      <c r="I137" s="22" t="str">
        <f t="shared" si="4"/>
        <v/>
      </c>
      <c r="J137" s="20" t="str">
        <f>IF(I137="", "", COUNT($I$12:$I137))</f>
        <v/>
      </c>
      <c r="K137" s="28" t="s">
        <v>155</v>
      </c>
    </row>
    <row r="138" spans="3:11" ht="13.5" customHeight="1" x14ac:dyDescent="0.4">
      <c r="C138" s="26">
        <v>1</v>
      </c>
      <c r="D138" s="26" t="s">
        <v>26</v>
      </c>
      <c r="E138" s="26">
        <v>127</v>
      </c>
      <c r="F138" s="26">
        <v>658</v>
      </c>
      <c r="G138" s="22">
        <f t="shared" si="5"/>
        <v>114334</v>
      </c>
      <c r="H138" s="18">
        <f t="shared" si="3"/>
        <v>113983.09677419355</v>
      </c>
      <c r="I138" s="22">
        <f t="shared" si="4"/>
        <v>307.09677419354557</v>
      </c>
      <c r="J138" s="20">
        <f>IF(I138="", "", COUNT($I$12:$I138))</f>
        <v>12</v>
      </c>
      <c r="K138" s="28" t="s">
        <v>156</v>
      </c>
    </row>
    <row r="139" spans="3:11" ht="13.5" customHeight="1" x14ac:dyDescent="0.4">
      <c r="C139" s="26">
        <v>1</v>
      </c>
      <c r="D139" s="26" t="s">
        <v>26</v>
      </c>
      <c r="E139" s="26">
        <v>128</v>
      </c>
      <c r="F139" s="26">
        <v>1000</v>
      </c>
      <c r="G139" s="22">
        <f t="shared" si="5"/>
        <v>115334</v>
      </c>
      <c r="H139" s="18" t="str">
        <f t="shared" si="3"/>
        <v/>
      </c>
      <c r="I139" s="22" t="str">
        <f t="shared" si="4"/>
        <v/>
      </c>
      <c r="J139" s="20" t="str">
        <f>IF(I139="", "", COUNT($I$12:$I139))</f>
        <v/>
      </c>
      <c r="K139" s="28" t="s">
        <v>157</v>
      </c>
    </row>
    <row r="140" spans="3:11" ht="13.5" customHeight="1" x14ac:dyDescent="0.4">
      <c r="C140" s="26">
        <v>1</v>
      </c>
      <c r="D140" s="26" t="s">
        <v>26</v>
      </c>
      <c r="E140" s="26">
        <v>129</v>
      </c>
      <c r="F140" s="26">
        <v>1045</v>
      </c>
      <c r="G140" s="22">
        <f t="shared" si="5"/>
        <v>116379</v>
      </c>
      <c r="H140" s="18" t="str">
        <f t="shared" ref="H140:H203" si="6">IF(AND(G140 &gt;= ($D$5 + ($C$5 * (INT((G140 - $D$5)/$C$5)))), G139 &lt; ($D$5 + ($C$5 * (INT((G140 - $D$5)/$C$5))))), $D$5 + ($C$5 * INT((G140 - $D$5)/$C$5)), "")</f>
        <v/>
      </c>
      <c r="I140" s="22" t="str">
        <f t="shared" ref="I140:I203" si="7">IFERROR(H140-G139, "")</f>
        <v/>
      </c>
      <c r="J140" s="20" t="str">
        <f>IF(I140="", "", COUNT($I$12:$I140))</f>
        <v/>
      </c>
      <c r="K140" s="28" t="s">
        <v>158</v>
      </c>
    </row>
    <row r="141" spans="3:11" ht="13.5" customHeight="1" x14ac:dyDescent="0.4">
      <c r="C141" s="26">
        <v>1</v>
      </c>
      <c r="D141" s="26" t="s">
        <v>26</v>
      </c>
      <c r="E141" s="26">
        <v>130</v>
      </c>
      <c r="F141" s="26">
        <v>938</v>
      </c>
      <c r="G141" s="22">
        <f t="shared" si="5"/>
        <v>117317</v>
      </c>
      <c r="H141" s="18" t="str">
        <f t="shared" si="6"/>
        <v/>
      </c>
      <c r="I141" s="22" t="str">
        <f t="shared" si="7"/>
        <v/>
      </c>
      <c r="J141" s="20" t="str">
        <f>IF(I141="", "", COUNT($I$12:$I141))</f>
        <v/>
      </c>
      <c r="K141" s="28" t="s">
        <v>159</v>
      </c>
    </row>
    <row r="142" spans="3:11" ht="13.5" customHeight="1" x14ac:dyDescent="0.4">
      <c r="C142" s="26">
        <v>1</v>
      </c>
      <c r="D142" s="26" t="s">
        <v>26</v>
      </c>
      <c r="E142" s="26">
        <v>131</v>
      </c>
      <c r="F142" s="26">
        <v>966</v>
      </c>
      <c r="G142" s="22">
        <f t="shared" ref="G142:G205" si="8">G141+F142</f>
        <v>118283</v>
      </c>
      <c r="H142" s="18" t="str">
        <f t="shared" si="6"/>
        <v/>
      </c>
      <c r="I142" s="22" t="str">
        <f t="shared" si="7"/>
        <v/>
      </c>
      <c r="J142" s="20" t="str">
        <f>IF(I142="", "", COUNT($I$12:$I142))</f>
        <v/>
      </c>
      <c r="K142" s="28" t="s">
        <v>160</v>
      </c>
    </row>
    <row r="143" spans="3:11" ht="13.5" customHeight="1" x14ac:dyDescent="0.4">
      <c r="C143" s="26">
        <v>1</v>
      </c>
      <c r="D143" s="26" t="s">
        <v>26</v>
      </c>
      <c r="E143" s="26">
        <v>132</v>
      </c>
      <c r="F143" s="26">
        <v>901</v>
      </c>
      <c r="G143" s="22">
        <f t="shared" si="8"/>
        <v>119184</v>
      </c>
      <c r="H143" s="18" t="str">
        <f t="shared" si="6"/>
        <v/>
      </c>
      <c r="I143" s="22" t="str">
        <f t="shared" si="7"/>
        <v/>
      </c>
      <c r="J143" s="20" t="str">
        <f>IF(I143="", "", COUNT($I$12:$I143))</f>
        <v/>
      </c>
      <c r="K143" s="28" t="s">
        <v>161</v>
      </c>
    </row>
    <row r="144" spans="3:11" ht="13.5" customHeight="1" x14ac:dyDescent="0.4">
      <c r="C144" s="26">
        <v>1</v>
      </c>
      <c r="D144" s="26" t="s">
        <v>26</v>
      </c>
      <c r="E144" s="26">
        <v>133</v>
      </c>
      <c r="F144" s="26">
        <v>583</v>
      </c>
      <c r="G144" s="22">
        <f t="shared" si="8"/>
        <v>119767</v>
      </c>
      <c r="H144" s="18" t="str">
        <f t="shared" si="6"/>
        <v/>
      </c>
      <c r="I144" s="22" t="str">
        <f t="shared" si="7"/>
        <v/>
      </c>
      <c r="J144" s="20" t="str">
        <f>IF(I144="", "", COUNT($I$12:$I144))</f>
        <v/>
      </c>
      <c r="K144" s="28" t="s">
        <v>162</v>
      </c>
    </row>
    <row r="145" spans="3:11" ht="13.5" customHeight="1" x14ac:dyDescent="0.4">
      <c r="C145" s="26">
        <v>1</v>
      </c>
      <c r="D145" s="26" t="s">
        <v>26</v>
      </c>
      <c r="E145" s="26">
        <v>134</v>
      </c>
      <c r="F145" s="26">
        <v>1161</v>
      </c>
      <c r="G145" s="22">
        <f t="shared" si="8"/>
        <v>120928</v>
      </c>
      <c r="H145" s="18" t="str">
        <f t="shared" si="6"/>
        <v/>
      </c>
      <c r="I145" s="22" t="str">
        <f t="shared" si="7"/>
        <v/>
      </c>
      <c r="J145" s="20" t="str">
        <f>IF(I145="", "", COUNT($I$12:$I145))</f>
        <v/>
      </c>
      <c r="K145" s="28" t="s">
        <v>163</v>
      </c>
    </row>
    <row r="146" spans="3:11" ht="13.5" customHeight="1" x14ac:dyDescent="0.4">
      <c r="C146" s="26">
        <v>1</v>
      </c>
      <c r="D146" s="26" t="s">
        <v>26</v>
      </c>
      <c r="E146" s="26">
        <v>135</v>
      </c>
      <c r="F146" s="26">
        <v>850</v>
      </c>
      <c r="G146" s="22">
        <f t="shared" si="8"/>
        <v>121778</v>
      </c>
      <c r="H146" s="18" t="str">
        <f t="shared" si="6"/>
        <v/>
      </c>
      <c r="I146" s="22" t="str">
        <f t="shared" si="7"/>
        <v/>
      </c>
      <c r="J146" s="20" t="str">
        <f>IF(I146="", "", COUNT($I$12:$I146))</f>
        <v/>
      </c>
      <c r="K146" s="28" t="s">
        <v>164</v>
      </c>
    </row>
    <row r="147" spans="3:11" ht="13.5" customHeight="1" x14ac:dyDescent="0.4">
      <c r="C147" s="26">
        <v>1</v>
      </c>
      <c r="D147" s="26" t="s">
        <v>26</v>
      </c>
      <c r="E147" s="26">
        <v>136</v>
      </c>
      <c r="F147" s="26">
        <v>687</v>
      </c>
      <c r="G147" s="22">
        <f t="shared" si="8"/>
        <v>122465</v>
      </c>
      <c r="H147" s="18" t="str">
        <f t="shared" si="6"/>
        <v/>
      </c>
      <c r="I147" s="22" t="str">
        <f t="shared" si="7"/>
        <v/>
      </c>
      <c r="J147" s="20" t="str">
        <f>IF(I147="", "", COUNT($I$12:$I147))</f>
        <v/>
      </c>
      <c r="K147" s="28" t="s">
        <v>165</v>
      </c>
    </row>
    <row r="148" spans="3:11" ht="13.5" customHeight="1" x14ac:dyDescent="0.4">
      <c r="C148" s="26">
        <v>1</v>
      </c>
      <c r="D148" s="26" t="s">
        <v>26</v>
      </c>
      <c r="E148" s="26">
        <v>137</v>
      </c>
      <c r="F148" s="26">
        <v>988</v>
      </c>
      <c r="G148" s="22">
        <f t="shared" si="8"/>
        <v>123453</v>
      </c>
      <c r="H148" s="18" t="str">
        <f t="shared" si="6"/>
        <v/>
      </c>
      <c r="I148" s="22" t="str">
        <f t="shared" si="7"/>
        <v/>
      </c>
      <c r="J148" s="20" t="str">
        <f>IF(I148="", "", COUNT($I$12:$I148))</f>
        <v/>
      </c>
      <c r="K148" s="28" t="s">
        <v>166</v>
      </c>
    </row>
    <row r="149" spans="3:11" ht="13.5" customHeight="1" x14ac:dyDescent="0.4">
      <c r="C149" s="26">
        <v>1</v>
      </c>
      <c r="D149" s="26" t="s">
        <v>26</v>
      </c>
      <c r="E149" s="26">
        <v>138</v>
      </c>
      <c r="F149" s="26">
        <v>676</v>
      </c>
      <c r="G149" s="22">
        <f t="shared" si="8"/>
        <v>124129</v>
      </c>
      <c r="H149" s="18">
        <f t="shared" si="6"/>
        <v>123480.02150537634</v>
      </c>
      <c r="I149" s="22">
        <f t="shared" si="7"/>
        <v>27.021505376338609</v>
      </c>
      <c r="J149" s="20">
        <f>IF(I149="", "", COUNT($I$12:$I149))</f>
        <v>13</v>
      </c>
      <c r="K149" s="28" t="s">
        <v>167</v>
      </c>
    </row>
    <row r="150" spans="3:11" ht="13.5" customHeight="1" x14ac:dyDescent="0.4">
      <c r="C150" s="26">
        <v>1</v>
      </c>
      <c r="D150" s="26" t="s">
        <v>26</v>
      </c>
      <c r="E150" s="26">
        <v>139</v>
      </c>
      <c r="F150" s="26">
        <v>1061</v>
      </c>
      <c r="G150" s="22">
        <f t="shared" si="8"/>
        <v>125190</v>
      </c>
      <c r="H150" s="18" t="str">
        <f t="shared" si="6"/>
        <v/>
      </c>
      <c r="I150" s="22" t="str">
        <f t="shared" si="7"/>
        <v/>
      </c>
      <c r="J150" s="20" t="str">
        <f>IF(I150="", "", COUNT($I$12:$I150))</f>
        <v/>
      </c>
      <c r="K150" s="28" t="s">
        <v>168</v>
      </c>
    </row>
    <row r="151" spans="3:11" ht="13.5" customHeight="1" x14ac:dyDescent="0.4">
      <c r="C151" s="26">
        <v>1</v>
      </c>
      <c r="D151" s="26" t="s">
        <v>26</v>
      </c>
      <c r="E151" s="26">
        <v>140</v>
      </c>
      <c r="F151" s="26">
        <v>766</v>
      </c>
      <c r="G151" s="22">
        <f t="shared" si="8"/>
        <v>125956</v>
      </c>
      <c r="H151" s="18" t="str">
        <f t="shared" si="6"/>
        <v/>
      </c>
      <c r="I151" s="22" t="str">
        <f t="shared" si="7"/>
        <v/>
      </c>
      <c r="J151" s="20" t="str">
        <f>IF(I151="", "", COUNT($I$12:$I151))</f>
        <v/>
      </c>
      <c r="K151" s="28" t="s">
        <v>169</v>
      </c>
    </row>
    <row r="152" spans="3:11" ht="13.5" customHeight="1" x14ac:dyDescent="0.4">
      <c r="C152" s="26">
        <v>1</v>
      </c>
      <c r="D152" s="26" t="s">
        <v>26</v>
      </c>
      <c r="E152" s="26">
        <v>141</v>
      </c>
      <c r="F152" s="26">
        <v>1204</v>
      </c>
      <c r="G152" s="22">
        <f t="shared" si="8"/>
        <v>127160</v>
      </c>
      <c r="H152" s="18" t="str">
        <f t="shared" si="6"/>
        <v/>
      </c>
      <c r="I152" s="22" t="str">
        <f t="shared" si="7"/>
        <v/>
      </c>
      <c r="J152" s="20" t="str">
        <f>IF(I152="", "", COUNT($I$12:$I152))</f>
        <v/>
      </c>
      <c r="K152" s="28" t="s">
        <v>170</v>
      </c>
    </row>
    <row r="153" spans="3:11" ht="13.5" customHeight="1" x14ac:dyDescent="0.4">
      <c r="C153" s="26">
        <v>1</v>
      </c>
      <c r="D153" s="26" t="s">
        <v>26</v>
      </c>
      <c r="E153" s="26">
        <v>142</v>
      </c>
      <c r="F153" s="26">
        <v>785</v>
      </c>
      <c r="G153" s="22">
        <f t="shared" si="8"/>
        <v>127945</v>
      </c>
      <c r="H153" s="18" t="str">
        <f t="shared" si="6"/>
        <v/>
      </c>
      <c r="I153" s="22" t="str">
        <f t="shared" si="7"/>
        <v/>
      </c>
      <c r="J153" s="20" t="str">
        <f>IF(I153="", "", COUNT($I$12:$I153))</f>
        <v/>
      </c>
      <c r="K153" s="28" t="s">
        <v>171</v>
      </c>
    </row>
    <row r="154" spans="3:11" ht="13.5" customHeight="1" x14ac:dyDescent="0.4">
      <c r="C154" s="26">
        <v>1</v>
      </c>
      <c r="D154" s="26" t="s">
        <v>26</v>
      </c>
      <c r="E154" s="26">
        <v>143</v>
      </c>
      <c r="F154" s="26">
        <v>1449</v>
      </c>
      <c r="G154" s="22">
        <f t="shared" si="8"/>
        <v>129394</v>
      </c>
      <c r="H154" s="18" t="str">
        <f t="shared" si="6"/>
        <v/>
      </c>
      <c r="I154" s="22" t="str">
        <f t="shared" si="7"/>
        <v/>
      </c>
      <c r="J154" s="20" t="str">
        <f>IF(I154="", "", COUNT($I$12:$I154))</f>
        <v/>
      </c>
      <c r="K154" s="28" t="s">
        <v>172</v>
      </c>
    </row>
    <row r="155" spans="3:11" ht="13.5" customHeight="1" x14ac:dyDescent="0.4">
      <c r="C155" s="26">
        <v>1</v>
      </c>
      <c r="D155" s="26" t="s">
        <v>26</v>
      </c>
      <c r="E155" s="26">
        <v>144</v>
      </c>
      <c r="F155" s="26">
        <v>1579</v>
      </c>
      <c r="G155" s="22">
        <f t="shared" si="8"/>
        <v>130973</v>
      </c>
      <c r="H155" s="18" t="str">
        <f t="shared" si="6"/>
        <v/>
      </c>
      <c r="I155" s="22" t="str">
        <f t="shared" si="7"/>
        <v/>
      </c>
      <c r="J155" s="20" t="str">
        <f>IF(I155="", "", COUNT($I$12:$I155))</f>
        <v/>
      </c>
      <c r="K155" s="28" t="s">
        <v>173</v>
      </c>
    </row>
    <row r="156" spans="3:11" ht="13.5" customHeight="1" x14ac:dyDescent="0.4">
      <c r="C156" s="26">
        <v>1</v>
      </c>
      <c r="D156" s="26" t="s">
        <v>26</v>
      </c>
      <c r="E156" s="26">
        <v>145</v>
      </c>
      <c r="F156" s="26">
        <v>1205</v>
      </c>
      <c r="G156" s="22">
        <f t="shared" si="8"/>
        <v>132178</v>
      </c>
      <c r="H156" s="18" t="str">
        <f t="shared" si="6"/>
        <v/>
      </c>
      <c r="I156" s="22" t="str">
        <f t="shared" si="7"/>
        <v/>
      </c>
      <c r="J156" s="20" t="str">
        <f>IF(I156="", "", COUNT($I$12:$I156))</f>
        <v/>
      </c>
      <c r="K156" s="28" t="s">
        <v>174</v>
      </c>
    </row>
    <row r="157" spans="3:11" ht="13.5" customHeight="1" x14ac:dyDescent="0.4">
      <c r="C157" s="26">
        <v>1</v>
      </c>
      <c r="D157" s="26" t="s">
        <v>26</v>
      </c>
      <c r="E157" s="26">
        <v>146</v>
      </c>
      <c r="F157" s="26">
        <v>922</v>
      </c>
      <c r="G157" s="22">
        <f t="shared" si="8"/>
        <v>133100</v>
      </c>
      <c r="H157" s="18">
        <f t="shared" si="6"/>
        <v>132976.94623655913</v>
      </c>
      <c r="I157" s="22">
        <f t="shared" si="7"/>
        <v>798.94623655913165</v>
      </c>
      <c r="J157" s="20">
        <f>IF(I157="", "", COUNT($I$12:$I157))</f>
        <v>14</v>
      </c>
      <c r="K157" s="28" t="s">
        <v>175</v>
      </c>
    </row>
    <row r="158" spans="3:11" ht="13.5" customHeight="1" x14ac:dyDescent="0.4">
      <c r="C158" s="26">
        <v>1</v>
      </c>
      <c r="D158" s="26" t="s">
        <v>26</v>
      </c>
      <c r="E158" s="26">
        <v>147</v>
      </c>
      <c r="F158" s="26">
        <v>998</v>
      </c>
      <c r="G158" s="22">
        <f t="shared" si="8"/>
        <v>134098</v>
      </c>
      <c r="H158" s="18" t="str">
        <f t="shared" si="6"/>
        <v/>
      </c>
      <c r="I158" s="22" t="str">
        <f t="shared" si="7"/>
        <v/>
      </c>
      <c r="J158" s="20" t="str">
        <f>IF(I158="", "", COUNT($I$12:$I158))</f>
        <v/>
      </c>
      <c r="K158" s="28" t="s">
        <v>176</v>
      </c>
    </row>
    <row r="159" spans="3:11" ht="13.5" customHeight="1" x14ac:dyDescent="0.4">
      <c r="C159" s="26">
        <v>1</v>
      </c>
      <c r="D159" s="26" t="s">
        <v>26</v>
      </c>
      <c r="E159" s="26">
        <v>148</v>
      </c>
      <c r="F159" s="26">
        <v>769</v>
      </c>
      <c r="G159" s="22">
        <f t="shared" si="8"/>
        <v>134867</v>
      </c>
      <c r="H159" s="18" t="str">
        <f t="shared" si="6"/>
        <v/>
      </c>
      <c r="I159" s="22" t="str">
        <f t="shared" si="7"/>
        <v/>
      </c>
      <c r="J159" s="20" t="str">
        <f>IF(I159="", "", COUNT($I$12:$I159))</f>
        <v/>
      </c>
      <c r="K159" s="28" t="s">
        <v>177</v>
      </c>
    </row>
    <row r="160" spans="3:11" ht="13.5" customHeight="1" x14ac:dyDescent="0.4">
      <c r="C160" s="26">
        <v>1</v>
      </c>
      <c r="D160" s="26" t="s">
        <v>26</v>
      </c>
      <c r="E160" s="26">
        <v>149</v>
      </c>
      <c r="F160" s="26">
        <v>849</v>
      </c>
      <c r="G160" s="22">
        <f t="shared" si="8"/>
        <v>135716</v>
      </c>
      <c r="H160" s="18" t="str">
        <f t="shared" si="6"/>
        <v/>
      </c>
      <c r="I160" s="22" t="str">
        <f t="shared" si="7"/>
        <v/>
      </c>
      <c r="J160" s="20" t="str">
        <f>IF(I160="", "", COUNT($I$12:$I160))</f>
        <v/>
      </c>
      <c r="K160" s="28" t="s">
        <v>178</v>
      </c>
    </row>
    <row r="161" spans="3:11" ht="13.5" customHeight="1" x14ac:dyDescent="0.4">
      <c r="C161" s="26">
        <v>1</v>
      </c>
      <c r="D161" s="26" t="s">
        <v>26</v>
      </c>
      <c r="E161" s="26">
        <v>150</v>
      </c>
      <c r="F161" s="26">
        <v>677</v>
      </c>
      <c r="G161" s="22">
        <f t="shared" si="8"/>
        <v>136393</v>
      </c>
      <c r="H161" s="18" t="str">
        <f t="shared" si="6"/>
        <v/>
      </c>
      <c r="I161" s="22" t="str">
        <f t="shared" si="7"/>
        <v/>
      </c>
      <c r="J161" s="20" t="str">
        <f>IF(I161="", "", COUNT($I$12:$I161))</f>
        <v/>
      </c>
      <c r="K161" s="28" t="s">
        <v>179</v>
      </c>
    </row>
    <row r="162" spans="3:11" ht="13.5" customHeight="1" x14ac:dyDescent="0.4">
      <c r="C162" s="26">
        <v>1</v>
      </c>
      <c r="D162" s="26" t="s">
        <v>26</v>
      </c>
      <c r="E162" s="26">
        <v>151</v>
      </c>
      <c r="F162" s="26">
        <v>1098</v>
      </c>
      <c r="G162" s="22">
        <f t="shared" si="8"/>
        <v>137491</v>
      </c>
      <c r="H162" s="18" t="str">
        <f t="shared" si="6"/>
        <v/>
      </c>
      <c r="I162" s="22" t="str">
        <f t="shared" si="7"/>
        <v/>
      </c>
      <c r="J162" s="20" t="str">
        <f>IF(I162="", "", COUNT($I$12:$I162))</f>
        <v/>
      </c>
      <c r="K162" s="28" t="s">
        <v>180</v>
      </c>
    </row>
    <row r="163" spans="3:11" ht="13.5" customHeight="1" x14ac:dyDescent="0.4">
      <c r="C163" s="26">
        <v>1</v>
      </c>
      <c r="D163" s="26" t="s">
        <v>26</v>
      </c>
      <c r="E163" s="26">
        <v>152</v>
      </c>
      <c r="F163" s="26">
        <v>942</v>
      </c>
      <c r="G163" s="22">
        <f t="shared" si="8"/>
        <v>138433</v>
      </c>
      <c r="H163" s="18" t="str">
        <f t="shared" si="6"/>
        <v/>
      </c>
      <c r="I163" s="22" t="str">
        <f t="shared" si="7"/>
        <v/>
      </c>
      <c r="J163" s="20" t="str">
        <f>IF(I163="", "", COUNT($I$12:$I163))</f>
        <v/>
      </c>
      <c r="K163" s="28" t="s">
        <v>181</v>
      </c>
    </row>
    <row r="164" spans="3:11" ht="13.5" customHeight="1" x14ac:dyDescent="0.4">
      <c r="C164" s="26">
        <v>1</v>
      </c>
      <c r="D164" s="26" t="s">
        <v>26</v>
      </c>
      <c r="E164" s="26">
        <v>153</v>
      </c>
      <c r="F164" s="26">
        <v>660</v>
      </c>
      <c r="G164" s="22">
        <f t="shared" si="8"/>
        <v>139093</v>
      </c>
      <c r="H164" s="18" t="str">
        <f t="shared" si="6"/>
        <v/>
      </c>
      <c r="I164" s="22" t="str">
        <f t="shared" si="7"/>
        <v/>
      </c>
      <c r="J164" s="20" t="str">
        <f>IF(I164="", "", COUNT($I$12:$I164))</f>
        <v/>
      </c>
      <c r="K164" s="28" t="s">
        <v>182</v>
      </c>
    </row>
    <row r="165" spans="3:11" ht="13.5" customHeight="1" x14ac:dyDescent="0.4">
      <c r="C165" s="26">
        <v>1</v>
      </c>
      <c r="D165" s="26" t="s">
        <v>26</v>
      </c>
      <c r="E165" s="26">
        <v>154</v>
      </c>
      <c r="F165" s="26">
        <v>572</v>
      </c>
      <c r="G165" s="22">
        <f t="shared" si="8"/>
        <v>139665</v>
      </c>
      <c r="H165" s="18" t="str">
        <f t="shared" si="6"/>
        <v/>
      </c>
      <c r="I165" s="22" t="str">
        <f t="shared" si="7"/>
        <v/>
      </c>
      <c r="J165" s="20" t="str">
        <f>IF(I165="", "", COUNT($I$12:$I165))</f>
        <v/>
      </c>
      <c r="K165" s="28" t="s">
        <v>183</v>
      </c>
    </row>
    <row r="166" spans="3:11" ht="13.5" customHeight="1" x14ac:dyDescent="0.4">
      <c r="C166" s="26">
        <v>1</v>
      </c>
      <c r="D166" s="26" t="s">
        <v>26</v>
      </c>
      <c r="E166" s="26">
        <v>155</v>
      </c>
      <c r="F166" s="26">
        <v>836</v>
      </c>
      <c r="G166" s="22">
        <f t="shared" si="8"/>
        <v>140501</v>
      </c>
      <c r="H166" s="18" t="str">
        <f t="shared" si="6"/>
        <v/>
      </c>
      <c r="I166" s="22" t="str">
        <f t="shared" si="7"/>
        <v/>
      </c>
      <c r="J166" s="20" t="str">
        <f>IF(I166="", "", COUNT($I$12:$I166))</f>
        <v/>
      </c>
      <c r="K166" s="28" t="s">
        <v>184</v>
      </c>
    </row>
    <row r="167" spans="3:11" ht="13.5" customHeight="1" x14ac:dyDescent="0.4">
      <c r="C167" s="26">
        <v>1</v>
      </c>
      <c r="D167" s="26" t="s">
        <v>26</v>
      </c>
      <c r="E167" s="26">
        <v>156</v>
      </c>
      <c r="F167" s="26">
        <v>1070</v>
      </c>
      <c r="G167" s="22">
        <f t="shared" si="8"/>
        <v>141571</v>
      </c>
      <c r="H167" s="18" t="str">
        <f t="shared" si="6"/>
        <v/>
      </c>
      <c r="I167" s="22" t="str">
        <f t="shared" si="7"/>
        <v/>
      </c>
      <c r="J167" s="20" t="str">
        <f>IF(I167="", "", COUNT($I$12:$I167))</f>
        <v/>
      </c>
      <c r="K167" s="28" t="s">
        <v>185</v>
      </c>
    </row>
    <row r="168" spans="3:11" ht="13.5" customHeight="1" x14ac:dyDescent="0.4">
      <c r="C168" s="26">
        <v>1</v>
      </c>
      <c r="D168" s="26" t="s">
        <v>26</v>
      </c>
      <c r="E168" s="26">
        <v>157</v>
      </c>
      <c r="F168" s="26">
        <v>820</v>
      </c>
      <c r="G168" s="22">
        <f t="shared" si="8"/>
        <v>142391</v>
      </c>
      <c r="H168" s="18" t="str">
        <f t="shared" si="6"/>
        <v/>
      </c>
      <c r="I168" s="22" t="str">
        <f t="shared" si="7"/>
        <v/>
      </c>
      <c r="J168" s="20" t="str">
        <f>IF(I168="", "", COUNT($I$12:$I168))</f>
        <v/>
      </c>
      <c r="K168" s="28" t="s">
        <v>186</v>
      </c>
    </row>
    <row r="169" spans="3:11" ht="13.5" customHeight="1" x14ac:dyDescent="0.4">
      <c r="C169" s="26">
        <v>1</v>
      </c>
      <c r="D169" s="26" t="s">
        <v>26</v>
      </c>
      <c r="E169" s="26">
        <v>158</v>
      </c>
      <c r="F169" s="26">
        <v>677</v>
      </c>
      <c r="G169" s="22">
        <f t="shared" si="8"/>
        <v>143068</v>
      </c>
      <c r="H169" s="18">
        <f t="shared" si="6"/>
        <v>142473.87096774191</v>
      </c>
      <c r="I169" s="22">
        <f t="shared" si="7"/>
        <v>82.870967741910135</v>
      </c>
      <c r="J169" s="20">
        <f>IF(I169="", "", COUNT($I$12:$I169))</f>
        <v>15</v>
      </c>
      <c r="K169" s="28" t="s">
        <v>187</v>
      </c>
    </row>
    <row r="170" spans="3:11" ht="13.5" customHeight="1" x14ac:dyDescent="0.4">
      <c r="C170" s="26">
        <v>1</v>
      </c>
      <c r="D170" s="26" t="s">
        <v>26</v>
      </c>
      <c r="E170" s="26">
        <v>159</v>
      </c>
      <c r="F170" s="26">
        <v>951</v>
      </c>
      <c r="G170" s="22">
        <f t="shared" si="8"/>
        <v>144019</v>
      </c>
      <c r="H170" s="18" t="str">
        <f t="shared" si="6"/>
        <v/>
      </c>
      <c r="I170" s="22" t="str">
        <f t="shared" si="7"/>
        <v/>
      </c>
      <c r="J170" s="20" t="str">
        <f>IF(I170="", "", COUNT($I$12:$I170))</f>
        <v/>
      </c>
      <c r="K170" s="28" t="s">
        <v>188</v>
      </c>
    </row>
    <row r="171" spans="3:11" ht="13.5" customHeight="1" x14ac:dyDescent="0.4">
      <c r="C171" s="26">
        <v>1</v>
      </c>
      <c r="D171" s="26" t="s">
        <v>26</v>
      </c>
      <c r="E171" s="26">
        <v>160</v>
      </c>
      <c r="F171" s="26">
        <v>727</v>
      </c>
      <c r="G171" s="22">
        <f t="shared" si="8"/>
        <v>144746</v>
      </c>
      <c r="H171" s="18" t="str">
        <f t="shared" si="6"/>
        <v/>
      </c>
      <c r="I171" s="22" t="str">
        <f t="shared" si="7"/>
        <v/>
      </c>
      <c r="J171" s="20" t="str">
        <f>IF(I171="", "", COUNT($I$12:$I171))</f>
        <v/>
      </c>
      <c r="K171" s="28" t="s">
        <v>189</v>
      </c>
    </row>
    <row r="172" spans="3:11" ht="13.5" customHeight="1" x14ac:dyDescent="0.4">
      <c r="C172" s="26">
        <v>1</v>
      </c>
      <c r="D172" s="26" t="s">
        <v>26</v>
      </c>
      <c r="E172" s="26">
        <v>161</v>
      </c>
      <c r="F172" s="26">
        <v>767</v>
      </c>
      <c r="G172" s="22">
        <f t="shared" si="8"/>
        <v>145513</v>
      </c>
      <c r="H172" s="18" t="str">
        <f t="shared" si="6"/>
        <v/>
      </c>
      <c r="I172" s="22" t="str">
        <f t="shared" si="7"/>
        <v/>
      </c>
      <c r="J172" s="20" t="str">
        <f>IF(I172="", "", COUNT($I$12:$I172))</f>
        <v/>
      </c>
      <c r="K172" s="28" t="s">
        <v>190</v>
      </c>
    </row>
    <row r="173" spans="3:11" ht="13.5" customHeight="1" x14ac:dyDescent="0.4">
      <c r="C173" s="26">
        <v>1</v>
      </c>
      <c r="D173" s="26" t="s">
        <v>26</v>
      </c>
      <c r="E173" s="26">
        <v>162</v>
      </c>
      <c r="F173" s="26">
        <v>1124</v>
      </c>
      <c r="G173" s="22">
        <f t="shared" si="8"/>
        <v>146637</v>
      </c>
      <c r="H173" s="18" t="str">
        <f t="shared" si="6"/>
        <v/>
      </c>
      <c r="I173" s="22" t="str">
        <f t="shared" si="7"/>
        <v/>
      </c>
      <c r="J173" s="20" t="str">
        <f>IF(I173="", "", COUNT($I$12:$I173))</f>
        <v/>
      </c>
      <c r="K173" s="28" t="s">
        <v>191</v>
      </c>
    </row>
    <row r="174" spans="3:11" ht="13.5" customHeight="1" x14ac:dyDescent="0.4">
      <c r="C174" s="26">
        <v>1</v>
      </c>
      <c r="D174" s="26" t="s">
        <v>26</v>
      </c>
      <c r="E174" s="26">
        <v>163</v>
      </c>
      <c r="F174" s="26">
        <v>1109</v>
      </c>
      <c r="G174" s="22">
        <f t="shared" si="8"/>
        <v>147746</v>
      </c>
      <c r="H174" s="18" t="str">
        <f t="shared" si="6"/>
        <v/>
      </c>
      <c r="I174" s="22" t="str">
        <f t="shared" si="7"/>
        <v/>
      </c>
      <c r="J174" s="20" t="str">
        <f>IF(I174="", "", COUNT($I$12:$I174))</f>
        <v/>
      </c>
      <c r="K174" s="28" t="s">
        <v>192</v>
      </c>
    </row>
    <row r="175" spans="3:11" ht="13.5" customHeight="1" x14ac:dyDescent="0.4">
      <c r="C175" s="26">
        <v>1</v>
      </c>
      <c r="D175" s="26" t="s">
        <v>26</v>
      </c>
      <c r="E175" s="26">
        <v>164</v>
      </c>
      <c r="F175" s="26">
        <v>1134</v>
      </c>
      <c r="G175" s="22">
        <f t="shared" si="8"/>
        <v>148880</v>
      </c>
      <c r="H175" s="18" t="str">
        <f t="shared" si="6"/>
        <v/>
      </c>
      <c r="I175" s="22" t="str">
        <f t="shared" si="7"/>
        <v/>
      </c>
      <c r="J175" s="20" t="str">
        <f>IF(I175="", "", COUNT($I$12:$I175))</f>
        <v/>
      </c>
      <c r="K175" s="28" t="s">
        <v>193</v>
      </c>
    </row>
    <row r="176" spans="3:11" ht="13.5" customHeight="1" x14ac:dyDescent="0.4">
      <c r="C176" s="26">
        <v>1</v>
      </c>
      <c r="D176" s="26" t="s">
        <v>26</v>
      </c>
      <c r="E176" s="26">
        <v>165</v>
      </c>
      <c r="F176" s="26">
        <v>997</v>
      </c>
      <c r="G176" s="22">
        <f t="shared" si="8"/>
        <v>149877</v>
      </c>
      <c r="H176" s="18" t="str">
        <f t="shared" si="6"/>
        <v/>
      </c>
      <c r="I176" s="22" t="str">
        <f t="shared" si="7"/>
        <v/>
      </c>
      <c r="J176" s="20" t="str">
        <f>IF(I176="", "", COUNT($I$12:$I176))</f>
        <v/>
      </c>
      <c r="K176" s="28" t="s">
        <v>194</v>
      </c>
    </row>
    <row r="177" spans="3:11" ht="13.5" customHeight="1" x14ac:dyDescent="0.4">
      <c r="C177" s="26">
        <v>1</v>
      </c>
      <c r="D177" s="26" t="s">
        <v>26</v>
      </c>
      <c r="E177" s="26">
        <v>166</v>
      </c>
      <c r="F177" s="26">
        <v>563</v>
      </c>
      <c r="G177" s="22">
        <f t="shared" si="8"/>
        <v>150440</v>
      </c>
      <c r="H177" s="18" t="str">
        <f t="shared" si="6"/>
        <v/>
      </c>
      <c r="I177" s="22" t="str">
        <f t="shared" si="7"/>
        <v/>
      </c>
      <c r="J177" s="20" t="str">
        <f>IF(I177="", "", COUNT($I$12:$I177))</f>
        <v/>
      </c>
      <c r="K177" s="28" t="s">
        <v>195</v>
      </c>
    </row>
    <row r="178" spans="3:11" ht="13.5" customHeight="1" x14ac:dyDescent="0.4">
      <c r="C178" s="26">
        <v>1</v>
      </c>
      <c r="D178" s="26" t="s">
        <v>26</v>
      </c>
      <c r="E178" s="26">
        <v>167</v>
      </c>
      <c r="F178" s="26">
        <v>937</v>
      </c>
      <c r="G178" s="22">
        <f t="shared" si="8"/>
        <v>151377</v>
      </c>
      <c r="H178" s="18" t="str">
        <f t="shared" si="6"/>
        <v/>
      </c>
      <c r="I178" s="22" t="str">
        <f t="shared" si="7"/>
        <v/>
      </c>
      <c r="J178" s="20" t="str">
        <f>IF(I178="", "", COUNT($I$12:$I178))</f>
        <v/>
      </c>
      <c r="K178" s="28" t="s">
        <v>196</v>
      </c>
    </row>
    <row r="179" spans="3:11" ht="13.5" customHeight="1" x14ac:dyDescent="0.4">
      <c r="C179" s="26">
        <v>1</v>
      </c>
      <c r="D179" s="26" t="s">
        <v>26</v>
      </c>
      <c r="E179" s="26">
        <v>168</v>
      </c>
      <c r="F179" s="26">
        <v>983</v>
      </c>
      <c r="G179" s="22">
        <f t="shared" si="8"/>
        <v>152360</v>
      </c>
      <c r="H179" s="18">
        <f t="shared" si="6"/>
        <v>151970.79569892472</v>
      </c>
      <c r="I179" s="22">
        <f t="shared" si="7"/>
        <v>593.79569892471773</v>
      </c>
      <c r="J179" s="20">
        <f>IF(I179="", "", COUNT($I$12:$I179))</f>
        <v>16</v>
      </c>
      <c r="K179" s="28" t="s">
        <v>197</v>
      </c>
    </row>
    <row r="180" spans="3:11" ht="13.5" customHeight="1" x14ac:dyDescent="0.4">
      <c r="C180" s="26">
        <v>1</v>
      </c>
      <c r="D180" s="26" t="s">
        <v>26</v>
      </c>
      <c r="E180" s="26">
        <v>169</v>
      </c>
      <c r="F180" s="26">
        <v>707</v>
      </c>
      <c r="G180" s="22">
        <f t="shared" si="8"/>
        <v>153067</v>
      </c>
      <c r="H180" s="18" t="str">
        <f t="shared" si="6"/>
        <v/>
      </c>
      <c r="I180" s="22" t="str">
        <f t="shared" si="7"/>
        <v/>
      </c>
      <c r="J180" s="20" t="str">
        <f>IF(I180="", "", COUNT($I$12:$I180))</f>
        <v/>
      </c>
      <c r="K180" s="28" t="s">
        <v>198</v>
      </c>
    </row>
    <row r="181" spans="3:11" ht="13.5" customHeight="1" x14ac:dyDescent="0.4">
      <c r="C181" s="26">
        <v>1</v>
      </c>
      <c r="D181" s="26" t="s">
        <v>26</v>
      </c>
      <c r="E181" s="26">
        <v>170</v>
      </c>
      <c r="F181" s="26">
        <v>589</v>
      </c>
      <c r="G181" s="22">
        <f t="shared" si="8"/>
        <v>153656</v>
      </c>
      <c r="H181" s="18" t="str">
        <f t="shared" si="6"/>
        <v/>
      </c>
      <c r="I181" s="22" t="str">
        <f t="shared" si="7"/>
        <v/>
      </c>
      <c r="J181" s="20" t="str">
        <f>IF(I181="", "", COUNT($I$12:$I181))</f>
        <v/>
      </c>
      <c r="K181" s="28" t="s">
        <v>199</v>
      </c>
    </row>
    <row r="182" spans="3:11" ht="13.5" customHeight="1" x14ac:dyDescent="0.4">
      <c r="C182" s="26">
        <v>1</v>
      </c>
      <c r="D182" s="26" t="s">
        <v>26</v>
      </c>
      <c r="E182" s="26">
        <v>171</v>
      </c>
      <c r="F182" s="26">
        <v>808</v>
      </c>
      <c r="G182" s="22">
        <f t="shared" si="8"/>
        <v>154464</v>
      </c>
      <c r="H182" s="18" t="str">
        <f t="shared" si="6"/>
        <v/>
      </c>
      <c r="I182" s="22" t="str">
        <f t="shared" si="7"/>
        <v/>
      </c>
      <c r="J182" s="20" t="str">
        <f>IF(I182="", "", COUNT($I$12:$I182))</f>
        <v/>
      </c>
      <c r="K182" s="28" t="s">
        <v>200</v>
      </c>
    </row>
    <row r="183" spans="3:11" ht="13.5" customHeight="1" x14ac:dyDescent="0.4">
      <c r="C183" s="26">
        <v>1</v>
      </c>
      <c r="D183" s="26" t="s">
        <v>26</v>
      </c>
      <c r="E183" s="26">
        <v>172</v>
      </c>
      <c r="F183" s="26">
        <v>663</v>
      </c>
      <c r="G183" s="22">
        <f t="shared" si="8"/>
        <v>155127</v>
      </c>
      <c r="H183" s="18" t="str">
        <f t="shared" si="6"/>
        <v/>
      </c>
      <c r="I183" s="22" t="str">
        <f t="shared" si="7"/>
        <v/>
      </c>
      <c r="J183" s="20" t="str">
        <f>IF(I183="", "", COUNT($I$12:$I183))</f>
        <v/>
      </c>
      <c r="K183" s="28" t="s">
        <v>201</v>
      </c>
    </row>
    <row r="184" spans="3:11" ht="13.5" customHeight="1" x14ac:dyDescent="0.4">
      <c r="C184" s="26">
        <v>1</v>
      </c>
      <c r="D184" s="26" t="s">
        <v>26</v>
      </c>
      <c r="E184" s="26">
        <v>173</v>
      </c>
      <c r="F184" s="26">
        <v>773</v>
      </c>
      <c r="G184" s="22">
        <f t="shared" si="8"/>
        <v>155900</v>
      </c>
      <c r="H184" s="18" t="str">
        <f t="shared" si="6"/>
        <v/>
      </c>
      <c r="I184" s="22" t="str">
        <f t="shared" si="7"/>
        <v/>
      </c>
      <c r="J184" s="20" t="str">
        <f>IF(I184="", "", COUNT($I$12:$I184))</f>
        <v/>
      </c>
      <c r="K184" s="28" t="s">
        <v>202</v>
      </c>
    </row>
    <row r="185" spans="3:11" ht="13.5" customHeight="1" x14ac:dyDescent="0.4">
      <c r="C185" s="26">
        <v>1</v>
      </c>
      <c r="D185" s="26" t="s">
        <v>26</v>
      </c>
      <c r="E185" s="26">
        <v>174</v>
      </c>
      <c r="F185" s="26">
        <v>1090</v>
      </c>
      <c r="G185" s="22">
        <f t="shared" si="8"/>
        <v>156990</v>
      </c>
      <c r="H185" s="18" t="str">
        <f t="shared" si="6"/>
        <v/>
      </c>
      <c r="I185" s="22" t="str">
        <f t="shared" si="7"/>
        <v/>
      </c>
      <c r="J185" s="20" t="str">
        <f>IF(I185="", "", COUNT($I$12:$I185))</f>
        <v/>
      </c>
      <c r="K185" s="28" t="s">
        <v>203</v>
      </c>
    </row>
    <row r="186" spans="3:11" ht="13.5" customHeight="1" x14ac:dyDescent="0.4">
      <c r="C186" s="26">
        <v>1</v>
      </c>
      <c r="D186" s="26" t="s">
        <v>26</v>
      </c>
      <c r="E186" s="26">
        <v>175</v>
      </c>
      <c r="F186" s="26">
        <v>1060</v>
      </c>
      <c r="G186" s="22">
        <f t="shared" si="8"/>
        <v>158050</v>
      </c>
      <c r="H186" s="18" t="str">
        <f t="shared" si="6"/>
        <v/>
      </c>
      <c r="I186" s="22" t="str">
        <f t="shared" si="7"/>
        <v/>
      </c>
      <c r="J186" s="20" t="str">
        <f>IF(I186="", "", COUNT($I$12:$I186))</f>
        <v/>
      </c>
      <c r="K186" s="28" t="s">
        <v>204</v>
      </c>
    </row>
    <row r="187" spans="3:11" ht="13.5" customHeight="1" x14ac:dyDescent="0.4">
      <c r="C187" s="26">
        <v>1</v>
      </c>
      <c r="D187" s="26" t="s">
        <v>26</v>
      </c>
      <c r="E187" s="26">
        <v>176</v>
      </c>
      <c r="F187" s="26">
        <v>1077</v>
      </c>
      <c r="G187" s="22">
        <f t="shared" si="8"/>
        <v>159127</v>
      </c>
      <c r="H187" s="18" t="str">
        <f t="shared" si="6"/>
        <v/>
      </c>
      <c r="I187" s="22" t="str">
        <f t="shared" si="7"/>
        <v/>
      </c>
      <c r="J187" s="20" t="str">
        <f>IF(I187="", "", COUNT($I$12:$I187))</f>
        <v/>
      </c>
      <c r="K187" s="28" t="s">
        <v>205</v>
      </c>
    </row>
    <row r="188" spans="3:11" ht="13.5" customHeight="1" x14ac:dyDescent="0.4">
      <c r="C188" s="26">
        <v>1</v>
      </c>
      <c r="D188" s="26" t="s">
        <v>26</v>
      </c>
      <c r="E188" s="26">
        <v>177</v>
      </c>
      <c r="F188" s="26">
        <v>477</v>
      </c>
      <c r="G188" s="22">
        <f t="shared" si="8"/>
        <v>159604</v>
      </c>
      <c r="H188" s="18" t="str">
        <f t="shared" si="6"/>
        <v/>
      </c>
      <c r="I188" s="22" t="str">
        <f t="shared" si="7"/>
        <v/>
      </c>
      <c r="J188" s="20" t="str">
        <f>IF(I188="", "", COUNT($I$12:$I188))</f>
        <v/>
      </c>
      <c r="K188" s="28" t="s">
        <v>206</v>
      </c>
    </row>
    <row r="189" spans="3:11" ht="13.5" customHeight="1" x14ac:dyDescent="0.4">
      <c r="C189" s="26">
        <v>1</v>
      </c>
      <c r="D189" s="26" t="s">
        <v>26</v>
      </c>
      <c r="E189" s="26">
        <v>178</v>
      </c>
      <c r="F189" s="26">
        <v>1352</v>
      </c>
      <c r="G189" s="22">
        <f t="shared" si="8"/>
        <v>160956</v>
      </c>
      <c r="H189" s="18" t="str">
        <f t="shared" si="6"/>
        <v/>
      </c>
      <c r="I189" s="22" t="str">
        <f t="shared" si="7"/>
        <v/>
      </c>
      <c r="J189" s="20" t="str">
        <f>IF(I189="", "", COUNT($I$12:$I189))</f>
        <v/>
      </c>
      <c r="K189" s="28" t="s">
        <v>207</v>
      </c>
    </row>
    <row r="190" spans="3:11" ht="13.5" customHeight="1" x14ac:dyDescent="0.4">
      <c r="C190" s="26">
        <v>1</v>
      </c>
      <c r="D190" s="26" t="s">
        <v>26</v>
      </c>
      <c r="E190" s="26">
        <v>179</v>
      </c>
      <c r="F190" s="26">
        <v>657</v>
      </c>
      <c r="G190" s="22">
        <f t="shared" si="8"/>
        <v>161613</v>
      </c>
      <c r="H190" s="18">
        <f t="shared" si="6"/>
        <v>161467.72043010753</v>
      </c>
      <c r="I190" s="22">
        <f t="shared" si="7"/>
        <v>511.72043010752532</v>
      </c>
      <c r="J190" s="20">
        <f>IF(I190="", "", COUNT($I$12:$I190))</f>
        <v>17</v>
      </c>
      <c r="K190" s="28" t="s">
        <v>208</v>
      </c>
    </row>
    <row r="191" spans="3:11" ht="13.5" customHeight="1" x14ac:dyDescent="0.4">
      <c r="C191" s="26">
        <v>1</v>
      </c>
      <c r="D191" s="26" t="s">
        <v>26</v>
      </c>
      <c r="E191" s="26">
        <v>180</v>
      </c>
      <c r="F191" s="26">
        <v>845</v>
      </c>
      <c r="G191" s="22">
        <f t="shared" si="8"/>
        <v>162458</v>
      </c>
      <c r="H191" s="18" t="str">
        <f t="shared" si="6"/>
        <v/>
      </c>
      <c r="I191" s="22" t="str">
        <f t="shared" si="7"/>
        <v/>
      </c>
      <c r="J191" s="20" t="str">
        <f>IF(I191="", "", COUNT($I$12:$I191))</f>
        <v/>
      </c>
      <c r="K191" s="28" t="s">
        <v>209</v>
      </c>
    </row>
    <row r="192" spans="3:11" ht="13.5" customHeight="1" x14ac:dyDescent="0.4">
      <c r="C192" s="26">
        <v>1</v>
      </c>
      <c r="D192" s="26" t="s">
        <v>26</v>
      </c>
      <c r="E192" s="26">
        <v>181</v>
      </c>
      <c r="F192" s="26">
        <v>1186</v>
      </c>
      <c r="G192" s="22">
        <f t="shared" si="8"/>
        <v>163644</v>
      </c>
      <c r="H192" s="18" t="str">
        <f t="shared" si="6"/>
        <v/>
      </c>
      <c r="I192" s="22" t="str">
        <f t="shared" si="7"/>
        <v/>
      </c>
      <c r="J192" s="20" t="str">
        <f>IF(I192="", "", COUNT($I$12:$I192))</f>
        <v/>
      </c>
      <c r="K192" s="28" t="s">
        <v>210</v>
      </c>
    </row>
    <row r="193" spans="3:11" ht="13.5" customHeight="1" x14ac:dyDescent="0.4">
      <c r="C193" s="26">
        <v>1</v>
      </c>
      <c r="D193" s="26" t="s">
        <v>26</v>
      </c>
      <c r="E193" s="26">
        <v>182</v>
      </c>
      <c r="F193" s="26">
        <v>1114</v>
      </c>
      <c r="G193" s="22">
        <f t="shared" si="8"/>
        <v>164758</v>
      </c>
      <c r="H193" s="18" t="str">
        <f t="shared" si="6"/>
        <v/>
      </c>
      <c r="I193" s="22" t="str">
        <f t="shared" si="7"/>
        <v/>
      </c>
      <c r="J193" s="20" t="str">
        <f>IF(I193="", "", COUNT($I$12:$I193))</f>
        <v/>
      </c>
      <c r="K193" s="28" t="s">
        <v>211</v>
      </c>
    </row>
    <row r="194" spans="3:11" ht="13.5" customHeight="1" x14ac:dyDescent="0.4">
      <c r="C194" s="26">
        <v>1</v>
      </c>
      <c r="D194" s="26" t="s">
        <v>26</v>
      </c>
      <c r="E194" s="26">
        <v>183</v>
      </c>
      <c r="F194" s="26">
        <v>1587</v>
      </c>
      <c r="G194" s="22">
        <f t="shared" si="8"/>
        <v>166345</v>
      </c>
      <c r="H194" s="18" t="str">
        <f t="shared" si="6"/>
        <v/>
      </c>
      <c r="I194" s="22" t="str">
        <f t="shared" si="7"/>
        <v/>
      </c>
      <c r="J194" s="20" t="str">
        <f>IF(I194="", "", COUNT($I$12:$I194))</f>
        <v/>
      </c>
      <c r="K194" s="28" t="s">
        <v>212</v>
      </c>
    </row>
    <row r="195" spans="3:11" ht="13.5" customHeight="1" x14ac:dyDescent="0.4">
      <c r="C195" s="26">
        <v>1</v>
      </c>
      <c r="D195" s="26" t="s">
        <v>26</v>
      </c>
      <c r="E195" s="26">
        <v>184</v>
      </c>
      <c r="F195" s="26">
        <v>893</v>
      </c>
      <c r="G195" s="22">
        <f t="shared" si="8"/>
        <v>167238</v>
      </c>
      <c r="H195" s="18" t="str">
        <f t="shared" si="6"/>
        <v/>
      </c>
      <c r="I195" s="22" t="str">
        <f t="shared" si="7"/>
        <v/>
      </c>
      <c r="J195" s="20" t="str">
        <f>IF(I195="", "", COUNT($I$12:$I195))</f>
        <v/>
      </c>
      <c r="K195" s="28" t="s">
        <v>213</v>
      </c>
    </row>
    <row r="196" spans="3:11" ht="13.5" customHeight="1" x14ac:dyDescent="0.4">
      <c r="C196" s="26">
        <v>1</v>
      </c>
      <c r="D196" s="26" t="s">
        <v>26</v>
      </c>
      <c r="E196" s="26">
        <v>185</v>
      </c>
      <c r="F196" s="26">
        <v>1266</v>
      </c>
      <c r="G196" s="22">
        <f t="shared" si="8"/>
        <v>168504</v>
      </c>
      <c r="H196" s="18" t="str">
        <f t="shared" si="6"/>
        <v/>
      </c>
      <c r="I196" s="22" t="str">
        <f t="shared" si="7"/>
        <v/>
      </c>
      <c r="J196" s="20" t="str">
        <f>IF(I196="", "", COUNT($I$12:$I196))</f>
        <v/>
      </c>
      <c r="K196" s="28" t="s">
        <v>214</v>
      </c>
    </row>
    <row r="197" spans="3:11" ht="13.5" customHeight="1" x14ac:dyDescent="0.4">
      <c r="C197" s="26">
        <v>1</v>
      </c>
      <c r="D197" s="26" t="s">
        <v>26</v>
      </c>
      <c r="E197" s="26">
        <v>186</v>
      </c>
      <c r="F197" s="26">
        <v>1213</v>
      </c>
      <c r="G197" s="22">
        <f t="shared" si="8"/>
        <v>169717</v>
      </c>
      <c r="H197" s="18" t="str">
        <f t="shared" si="6"/>
        <v/>
      </c>
      <c r="I197" s="22" t="str">
        <f t="shared" si="7"/>
        <v/>
      </c>
      <c r="J197" s="20" t="str">
        <f>IF(I197="", "", COUNT($I$12:$I197))</f>
        <v/>
      </c>
      <c r="K197" s="28" t="s">
        <v>215</v>
      </c>
    </row>
    <row r="198" spans="3:11" ht="13.5" customHeight="1" x14ac:dyDescent="0.4">
      <c r="C198" s="26">
        <v>1</v>
      </c>
      <c r="D198" s="26" t="s">
        <v>26</v>
      </c>
      <c r="E198" s="26">
        <v>187</v>
      </c>
      <c r="F198" s="26">
        <v>687</v>
      </c>
      <c r="G198" s="22">
        <f t="shared" si="8"/>
        <v>170404</v>
      </c>
      <c r="H198" s="18" t="str">
        <f t="shared" si="6"/>
        <v/>
      </c>
      <c r="I198" s="22" t="str">
        <f t="shared" si="7"/>
        <v/>
      </c>
      <c r="J198" s="20" t="str">
        <f>IF(I198="", "", COUNT($I$12:$I198))</f>
        <v/>
      </c>
      <c r="K198" s="28" t="s">
        <v>216</v>
      </c>
    </row>
    <row r="199" spans="3:11" ht="13.5" customHeight="1" x14ac:dyDescent="0.4">
      <c r="C199" s="26">
        <v>1</v>
      </c>
      <c r="D199" s="26" t="s">
        <v>26</v>
      </c>
      <c r="E199" s="26">
        <v>188</v>
      </c>
      <c r="F199" s="26">
        <v>1283</v>
      </c>
      <c r="G199" s="22">
        <f t="shared" si="8"/>
        <v>171687</v>
      </c>
      <c r="H199" s="18">
        <f t="shared" si="6"/>
        <v>170964.6451612903</v>
      </c>
      <c r="I199" s="22">
        <f t="shared" si="7"/>
        <v>560.6451612903038</v>
      </c>
      <c r="J199" s="20">
        <f>IF(I199="", "", COUNT($I$12:$I199))</f>
        <v>18</v>
      </c>
      <c r="K199" s="28" t="s">
        <v>217</v>
      </c>
    </row>
    <row r="200" spans="3:11" ht="13.5" customHeight="1" x14ac:dyDescent="0.4">
      <c r="C200" s="26">
        <v>1</v>
      </c>
      <c r="D200" s="26" t="s">
        <v>26</v>
      </c>
      <c r="E200" s="26">
        <v>189</v>
      </c>
      <c r="F200" s="26">
        <v>1107</v>
      </c>
      <c r="G200" s="22">
        <f t="shared" si="8"/>
        <v>172794</v>
      </c>
      <c r="H200" s="18" t="str">
        <f t="shared" si="6"/>
        <v/>
      </c>
      <c r="I200" s="22" t="str">
        <f t="shared" si="7"/>
        <v/>
      </c>
      <c r="J200" s="20" t="str">
        <f>IF(I200="", "", COUNT($I$12:$I200))</f>
        <v/>
      </c>
      <c r="K200" s="28" t="s">
        <v>218</v>
      </c>
    </row>
    <row r="201" spans="3:11" ht="13.5" customHeight="1" x14ac:dyDescent="0.4">
      <c r="C201" s="26">
        <v>1</v>
      </c>
      <c r="D201" s="26" t="s">
        <v>26</v>
      </c>
      <c r="E201" s="26">
        <v>190</v>
      </c>
      <c r="F201" s="26">
        <v>941</v>
      </c>
      <c r="G201" s="22">
        <f t="shared" si="8"/>
        <v>173735</v>
      </c>
      <c r="H201" s="18" t="str">
        <f t="shared" si="6"/>
        <v/>
      </c>
      <c r="I201" s="22" t="str">
        <f t="shared" si="7"/>
        <v/>
      </c>
      <c r="J201" s="20" t="str">
        <f>IF(I201="", "", COUNT($I$12:$I201))</f>
        <v/>
      </c>
      <c r="K201" s="28" t="s">
        <v>219</v>
      </c>
    </row>
    <row r="202" spans="3:11" ht="13.5" customHeight="1" x14ac:dyDescent="0.4">
      <c r="C202" s="26">
        <v>1</v>
      </c>
      <c r="D202" s="26" t="s">
        <v>26</v>
      </c>
      <c r="E202" s="26">
        <v>191</v>
      </c>
      <c r="F202" s="26">
        <v>721</v>
      </c>
      <c r="G202" s="22">
        <f t="shared" si="8"/>
        <v>174456</v>
      </c>
      <c r="H202" s="18" t="str">
        <f t="shared" si="6"/>
        <v/>
      </c>
      <c r="I202" s="22" t="str">
        <f t="shared" si="7"/>
        <v/>
      </c>
      <c r="J202" s="20" t="str">
        <f>IF(I202="", "", COUNT($I$12:$I202))</f>
        <v/>
      </c>
      <c r="K202" s="28" t="s">
        <v>220</v>
      </c>
    </row>
    <row r="203" spans="3:11" ht="13.5" customHeight="1" x14ac:dyDescent="0.4">
      <c r="C203" s="26">
        <v>1</v>
      </c>
      <c r="D203" s="26" t="s">
        <v>26</v>
      </c>
      <c r="E203" s="26">
        <v>192</v>
      </c>
      <c r="F203" s="26">
        <v>1238</v>
      </c>
      <c r="G203" s="22">
        <f t="shared" si="8"/>
        <v>175694</v>
      </c>
      <c r="H203" s="18" t="str">
        <f t="shared" si="6"/>
        <v/>
      </c>
      <c r="I203" s="22" t="str">
        <f t="shared" si="7"/>
        <v/>
      </c>
      <c r="J203" s="20" t="str">
        <f>IF(I203="", "", COUNT($I$12:$I203))</f>
        <v/>
      </c>
      <c r="K203" s="28" t="s">
        <v>221</v>
      </c>
    </row>
    <row r="204" spans="3:11" ht="13.5" customHeight="1" x14ac:dyDescent="0.4">
      <c r="C204" s="26">
        <v>1</v>
      </c>
      <c r="D204" s="26" t="s">
        <v>26</v>
      </c>
      <c r="E204" s="26">
        <v>193</v>
      </c>
      <c r="F204" s="26">
        <v>866</v>
      </c>
      <c r="G204" s="22">
        <f t="shared" si="8"/>
        <v>176560</v>
      </c>
      <c r="H204" s="18" t="str">
        <f t="shared" ref="H204:H267" si="9">IF(AND(G204 &gt;= ($D$5 + ($C$5 * (INT((G204 - $D$5)/$C$5)))), G203 &lt; ($D$5 + ($C$5 * (INT((G204 - $D$5)/$C$5))))), $D$5 + ($C$5 * INT((G204 - $D$5)/$C$5)), "")</f>
        <v/>
      </c>
      <c r="I204" s="22" t="str">
        <f t="shared" ref="I204:I267" si="10">IFERROR(H204-G203, "")</f>
        <v/>
      </c>
      <c r="J204" s="20" t="str">
        <f>IF(I204="", "", COUNT($I$12:$I204))</f>
        <v/>
      </c>
      <c r="K204" s="28" t="s">
        <v>222</v>
      </c>
    </row>
    <row r="205" spans="3:11" ht="13.5" customHeight="1" x14ac:dyDescent="0.4">
      <c r="C205" s="26">
        <v>1</v>
      </c>
      <c r="D205" s="26" t="s">
        <v>26</v>
      </c>
      <c r="E205" s="26">
        <v>194</v>
      </c>
      <c r="F205" s="26">
        <v>1008</v>
      </c>
      <c r="G205" s="22">
        <f t="shared" si="8"/>
        <v>177568</v>
      </c>
      <c r="H205" s="18" t="str">
        <f t="shared" si="9"/>
        <v/>
      </c>
      <c r="I205" s="22" t="str">
        <f t="shared" si="10"/>
        <v/>
      </c>
      <c r="J205" s="20" t="str">
        <f>IF(I205="", "", COUNT($I$12:$I205))</f>
        <v/>
      </c>
      <c r="K205" s="28" t="s">
        <v>223</v>
      </c>
    </row>
    <row r="206" spans="3:11" ht="13.5" customHeight="1" x14ac:dyDescent="0.4">
      <c r="C206" s="26">
        <v>1</v>
      </c>
      <c r="D206" s="26" t="s">
        <v>26</v>
      </c>
      <c r="E206" s="26">
        <v>195</v>
      </c>
      <c r="F206" s="26">
        <v>449</v>
      </c>
      <c r="G206" s="22">
        <f t="shared" ref="G206:G269" si="11">G205+F206</f>
        <v>178017</v>
      </c>
      <c r="H206" s="18" t="str">
        <f t="shared" si="9"/>
        <v/>
      </c>
      <c r="I206" s="22" t="str">
        <f t="shared" si="10"/>
        <v/>
      </c>
      <c r="J206" s="20" t="str">
        <f>IF(I206="", "", COUNT($I$12:$I206))</f>
        <v/>
      </c>
      <c r="K206" s="28" t="s">
        <v>224</v>
      </c>
    </row>
    <row r="207" spans="3:11" ht="13.5" customHeight="1" x14ac:dyDescent="0.4">
      <c r="C207" s="26">
        <v>1</v>
      </c>
      <c r="D207" s="26" t="s">
        <v>26</v>
      </c>
      <c r="E207" s="26">
        <v>196</v>
      </c>
      <c r="F207" s="26">
        <v>1114</v>
      </c>
      <c r="G207" s="22">
        <f t="shared" si="11"/>
        <v>179131</v>
      </c>
      <c r="H207" s="18" t="str">
        <f t="shared" si="9"/>
        <v/>
      </c>
      <c r="I207" s="22" t="str">
        <f t="shared" si="10"/>
        <v/>
      </c>
      <c r="J207" s="20" t="str">
        <f>IF(I207="", "", COUNT($I$12:$I207))</f>
        <v/>
      </c>
      <c r="K207" s="28" t="s">
        <v>225</v>
      </c>
    </row>
    <row r="208" spans="3:11" ht="13.5" customHeight="1" x14ac:dyDescent="0.4">
      <c r="C208" s="26">
        <v>1</v>
      </c>
      <c r="D208" s="26" t="s">
        <v>26</v>
      </c>
      <c r="E208" s="26">
        <v>197</v>
      </c>
      <c r="F208" s="26">
        <v>1067</v>
      </c>
      <c r="G208" s="22">
        <f t="shared" si="11"/>
        <v>180198</v>
      </c>
      <c r="H208" s="18" t="str">
        <f t="shared" si="9"/>
        <v/>
      </c>
      <c r="I208" s="22" t="str">
        <f t="shared" si="10"/>
        <v/>
      </c>
      <c r="J208" s="20" t="str">
        <f>IF(I208="", "", COUNT($I$12:$I208))</f>
        <v/>
      </c>
      <c r="K208" s="28" t="s">
        <v>226</v>
      </c>
    </row>
    <row r="209" spans="3:11" ht="13.5" customHeight="1" x14ac:dyDescent="0.4">
      <c r="C209" s="26">
        <v>1</v>
      </c>
      <c r="D209" s="26" t="s">
        <v>26</v>
      </c>
      <c r="E209" s="26">
        <v>198</v>
      </c>
      <c r="F209" s="26">
        <v>805</v>
      </c>
      <c r="G209" s="22">
        <f t="shared" si="11"/>
        <v>181003</v>
      </c>
      <c r="H209" s="18">
        <f t="shared" si="9"/>
        <v>180461.56989247311</v>
      </c>
      <c r="I209" s="22">
        <f t="shared" si="10"/>
        <v>263.56989247311139</v>
      </c>
      <c r="J209" s="20">
        <f>IF(I209="", "", COUNT($I$12:$I209))</f>
        <v>19</v>
      </c>
      <c r="K209" s="28" t="s">
        <v>227</v>
      </c>
    </row>
    <row r="210" spans="3:11" ht="13.5" customHeight="1" x14ac:dyDescent="0.4">
      <c r="C210" s="26">
        <v>1</v>
      </c>
      <c r="D210" s="26" t="s">
        <v>26</v>
      </c>
      <c r="E210" s="26">
        <v>199</v>
      </c>
      <c r="F210" s="26">
        <v>610</v>
      </c>
      <c r="G210" s="22">
        <f t="shared" si="11"/>
        <v>181613</v>
      </c>
      <c r="H210" s="18" t="str">
        <f t="shared" si="9"/>
        <v/>
      </c>
      <c r="I210" s="22" t="str">
        <f t="shared" si="10"/>
        <v/>
      </c>
      <c r="J210" s="20" t="str">
        <f>IF(I210="", "", COUNT($I$12:$I210))</f>
        <v/>
      </c>
      <c r="K210" s="28" t="s">
        <v>228</v>
      </c>
    </row>
    <row r="211" spans="3:11" ht="13.5" customHeight="1" x14ac:dyDescent="0.4">
      <c r="C211" s="26">
        <v>1</v>
      </c>
      <c r="D211" s="26" t="s">
        <v>26</v>
      </c>
      <c r="E211" s="26">
        <v>200</v>
      </c>
      <c r="F211" s="26">
        <v>1008</v>
      </c>
      <c r="G211" s="22">
        <f t="shared" si="11"/>
        <v>182621</v>
      </c>
      <c r="H211" s="18" t="str">
        <f t="shared" si="9"/>
        <v/>
      </c>
      <c r="I211" s="22" t="str">
        <f t="shared" si="10"/>
        <v/>
      </c>
      <c r="J211" s="20" t="str">
        <f>IF(I211="", "", COUNT($I$12:$I211))</f>
        <v/>
      </c>
      <c r="K211" s="28" t="s">
        <v>229</v>
      </c>
    </row>
    <row r="212" spans="3:11" ht="13.5" customHeight="1" x14ac:dyDescent="0.4">
      <c r="C212" s="26">
        <v>1</v>
      </c>
      <c r="D212" s="26" t="s">
        <v>26</v>
      </c>
      <c r="E212" s="26">
        <v>201</v>
      </c>
      <c r="F212" s="26">
        <v>1090</v>
      </c>
      <c r="G212" s="22">
        <f t="shared" si="11"/>
        <v>183711</v>
      </c>
      <c r="H212" s="18" t="str">
        <f t="shared" si="9"/>
        <v/>
      </c>
      <c r="I212" s="22" t="str">
        <f t="shared" si="10"/>
        <v/>
      </c>
      <c r="J212" s="20" t="str">
        <f>IF(I212="", "", COUNT($I$12:$I212))</f>
        <v/>
      </c>
      <c r="K212" s="28" t="s">
        <v>230</v>
      </c>
    </row>
    <row r="213" spans="3:11" ht="13.5" customHeight="1" x14ac:dyDescent="0.4">
      <c r="C213" s="26">
        <v>1</v>
      </c>
      <c r="D213" s="26" t="s">
        <v>26</v>
      </c>
      <c r="E213" s="26">
        <v>202</v>
      </c>
      <c r="F213" s="26">
        <v>599</v>
      </c>
      <c r="G213" s="22">
        <f t="shared" si="11"/>
        <v>184310</v>
      </c>
      <c r="H213" s="18" t="str">
        <f t="shared" si="9"/>
        <v/>
      </c>
      <c r="I213" s="22" t="str">
        <f t="shared" si="10"/>
        <v/>
      </c>
      <c r="J213" s="20" t="str">
        <f>IF(I213="", "", COUNT($I$12:$I213))</f>
        <v/>
      </c>
      <c r="K213" s="28" t="s">
        <v>231</v>
      </c>
    </row>
    <row r="214" spans="3:11" ht="13.5" customHeight="1" x14ac:dyDescent="0.4">
      <c r="C214" s="26">
        <v>1</v>
      </c>
      <c r="D214" s="26" t="s">
        <v>26</v>
      </c>
      <c r="E214" s="26">
        <v>203</v>
      </c>
      <c r="F214" s="26">
        <v>1013</v>
      </c>
      <c r="G214" s="22">
        <f t="shared" si="11"/>
        <v>185323</v>
      </c>
      <c r="H214" s="18" t="str">
        <f t="shared" si="9"/>
        <v/>
      </c>
      <c r="I214" s="22" t="str">
        <f t="shared" si="10"/>
        <v/>
      </c>
      <c r="J214" s="20" t="str">
        <f>IF(I214="", "", COUNT($I$12:$I214))</f>
        <v/>
      </c>
      <c r="K214" s="28" t="s">
        <v>232</v>
      </c>
    </row>
    <row r="215" spans="3:11" ht="13.5" customHeight="1" x14ac:dyDescent="0.4">
      <c r="C215" s="26">
        <v>1</v>
      </c>
      <c r="D215" s="26" t="s">
        <v>26</v>
      </c>
      <c r="E215" s="26">
        <v>204</v>
      </c>
      <c r="F215" s="26">
        <v>1146</v>
      </c>
      <c r="G215" s="22">
        <f t="shared" si="11"/>
        <v>186469</v>
      </c>
      <c r="H215" s="18" t="str">
        <f t="shared" si="9"/>
        <v/>
      </c>
      <c r="I215" s="22" t="str">
        <f t="shared" si="10"/>
        <v/>
      </c>
      <c r="J215" s="20" t="str">
        <f>IF(I215="", "", COUNT($I$12:$I215))</f>
        <v/>
      </c>
      <c r="K215" s="28" t="s">
        <v>233</v>
      </c>
    </row>
    <row r="216" spans="3:11" ht="13.5" customHeight="1" x14ac:dyDescent="0.4">
      <c r="C216" s="26">
        <v>1</v>
      </c>
      <c r="D216" s="26" t="s">
        <v>26</v>
      </c>
      <c r="E216" s="26">
        <v>205</v>
      </c>
      <c r="F216" s="26">
        <v>737</v>
      </c>
      <c r="G216" s="22">
        <f t="shared" si="11"/>
        <v>187206</v>
      </c>
      <c r="H216" s="18" t="str">
        <f t="shared" si="9"/>
        <v/>
      </c>
      <c r="I216" s="22" t="str">
        <f t="shared" si="10"/>
        <v/>
      </c>
      <c r="J216" s="20" t="str">
        <f>IF(I216="", "", COUNT($I$12:$I216))</f>
        <v/>
      </c>
      <c r="K216" s="28" t="s">
        <v>234</v>
      </c>
    </row>
    <row r="217" spans="3:11" ht="13.5" customHeight="1" x14ac:dyDescent="0.4">
      <c r="C217" s="26">
        <v>1</v>
      </c>
      <c r="D217" s="26" t="s">
        <v>26</v>
      </c>
      <c r="E217" s="26">
        <v>206</v>
      </c>
      <c r="F217" s="26">
        <v>917</v>
      </c>
      <c r="G217" s="22">
        <f t="shared" si="11"/>
        <v>188123</v>
      </c>
      <c r="H217" s="18" t="str">
        <f t="shared" si="9"/>
        <v/>
      </c>
      <c r="I217" s="22" t="str">
        <f t="shared" si="10"/>
        <v/>
      </c>
      <c r="J217" s="20" t="str">
        <f>IF(I217="", "", COUNT($I$12:$I217))</f>
        <v/>
      </c>
      <c r="K217" s="28" t="s">
        <v>235</v>
      </c>
    </row>
    <row r="218" spans="3:11" ht="13.5" customHeight="1" x14ac:dyDescent="0.4">
      <c r="C218" s="26">
        <v>1</v>
      </c>
      <c r="D218" s="26" t="s">
        <v>26</v>
      </c>
      <c r="E218" s="26">
        <v>207</v>
      </c>
      <c r="F218" s="26">
        <v>616</v>
      </c>
      <c r="G218" s="22">
        <f t="shared" si="11"/>
        <v>188739</v>
      </c>
      <c r="H218" s="18" t="str">
        <f t="shared" si="9"/>
        <v/>
      </c>
      <c r="I218" s="22" t="str">
        <f t="shared" si="10"/>
        <v/>
      </c>
      <c r="J218" s="20" t="str">
        <f>IF(I218="", "", COUNT($I$12:$I218))</f>
        <v/>
      </c>
      <c r="K218" s="28" t="s">
        <v>236</v>
      </c>
    </row>
    <row r="219" spans="3:11" ht="13.5" customHeight="1" x14ac:dyDescent="0.4">
      <c r="C219" s="26">
        <v>1</v>
      </c>
      <c r="D219" s="26" t="s">
        <v>26</v>
      </c>
      <c r="E219" s="26">
        <v>208</v>
      </c>
      <c r="F219" s="26">
        <v>1330</v>
      </c>
      <c r="G219" s="22">
        <f t="shared" si="11"/>
        <v>190069</v>
      </c>
      <c r="H219" s="18">
        <f t="shared" si="9"/>
        <v>189958.49462365589</v>
      </c>
      <c r="I219" s="22">
        <f t="shared" si="10"/>
        <v>1219.4946236558899</v>
      </c>
      <c r="J219" s="20">
        <f>IF(I219="", "", COUNT($I$12:$I219))</f>
        <v>20</v>
      </c>
      <c r="K219" s="28" t="s">
        <v>237</v>
      </c>
    </row>
    <row r="220" spans="3:11" ht="13.5" customHeight="1" x14ac:dyDescent="0.4">
      <c r="C220" s="26">
        <v>1</v>
      </c>
      <c r="D220" s="26" t="s">
        <v>26</v>
      </c>
      <c r="E220" s="26">
        <v>209</v>
      </c>
      <c r="F220" s="26">
        <v>1411</v>
      </c>
      <c r="G220" s="22">
        <f t="shared" si="11"/>
        <v>191480</v>
      </c>
      <c r="H220" s="18" t="str">
        <f t="shared" si="9"/>
        <v/>
      </c>
      <c r="I220" s="22" t="str">
        <f t="shared" si="10"/>
        <v/>
      </c>
      <c r="J220" s="20" t="str">
        <f>IF(I220="", "", COUNT($I$12:$I220))</f>
        <v/>
      </c>
      <c r="K220" s="28" t="s">
        <v>238</v>
      </c>
    </row>
    <row r="221" spans="3:11" ht="13.5" customHeight="1" x14ac:dyDescent="0.4">
      <c r="C221" s="26">
        <v>1</v>
      </c>
      <c r="D221" s="26" t="s">
        <v>26</v>
      </c>
      <c r="E221" s="26">
        <v>210</v>
      </c>
      <c r="F221" s="26">
        <v>991</v>
      </c>
      <c r="G221" s="22">
        <f t="shared" si="11"/>
        <v>192471</v>
      </c>
      <c r="H221" s="18" t="str">
        <f t="shared" si="9"/>
        <v/>
      </c>
      <c r="I221" s="22" t="str">
        <f t="shared" si="10"/>
        <v/>
      </c>
      <c r="J221" s="20" t="str">
        <f>IF(I221="", "", COUNT($I$12:$I221))</f>
        <v/>
      </c>
      <c r="K221" s="28" t="s">
        <v>239</v>
      </c>
    </row>
    <row r="222" spans="3:11" ht="13.5" customHeight="1" x14ac:dyDescent="0.4">
      <c r="C222" s="26">
        <v>1</v>
      </c>
      <c r="D222" s="26" t="s">
        <v>26</v>
      </c>
      <c r="E222" s="26">
        <v>211</v>
      </c>
      <c r="F222" s="26">
        <v>681</v>
      </c>
      <c r="G222" s="22">
        <f t="shared" si="11"/>
        <v>193152</v>
      </c>
      <c r="H222" s="18" t="str">
        <f t="shared" si="9"/>
        <v/>
      </c>
      <c r="I222" s="22" t="str">
        <f t="shared" si="10"/>
        <v/>
      </c>
      <c r="J222" s="20" t="str">
        <f>IF(I222="", "", COUNT($I$12:$I222))</f>
        <v/>
      </c>
      <c r="K222" s="28" t="s">
        <v>240</v>
      </c>
    </row>
    <row r="223" spans="3:11" ht="13.5" customHeight="1" x14ac:dyDescent="0.4">
      <c r="C223" s="26">
        <v>1</v>
      </c>
      <c r="D223" s="26" t="s">
        <v>26</v>
      </c>
      <c r="E223" s="26">
        <v>212</v>
      </c>
      <c r="F223" s="26">
        <v>867</v>
      </c>
      <c r="G223" s="22">
        <f t="shared" si="11"/>
        <v>194019</v>
      </c>
      <c r="H223" s="18" t="str">
        <f t="shared" si="9"/>
        <v/>
      </c>
      <c r="I223" s="22" t="str">
        <f t="shared" si="10"/>
        <v/>
      </c>
      <c r="J223" s="20" t="str">
        <f>IF(I223="", "", COUNT($I$12:$I223))</f>
        <v/>
      </c>
      <c r="K223" s="28" t="s">
        <v>241</v>
      </c>
    </row>
    <row r="224" spans="3:11" ht="13.5" customHeight="1" x14ac:dyDescent="0.4">
      <c r="C224" s="26">
        <v>1</v>
      </c>
      <c r="D224" s="26" t="s">
        <v>26</v>
      </c>
      <c r="E224" s="26">
        <v>213</v>
      </c>
      <c r="F224" s="26">
        <v>617</v>
      </c>
      <c r="G224" s="22">
        <f t="shared" si="11"/>
        <v>194636</v>
      </c>
      <c r="H224" s="18" t="str">
        <f t="shared" si="9"/>
        <v/>
      </c>
      <c r="I224" s="22" t="str">
        <f t="shared" si="10"/>
        <v/>
      </c>
      <c r="J224" s="20" t="str">
        <f>IF(I224="", "", COUNT($I$12:$I224))</f>
        <v/>
      </c>
      <c r="K224" s="28" t="s">
        <v>242</v>
      </c>
    </row>
    <row r="225" spans="3:11" ht="13.5" customHeight="1" x14ac:dyDescent="0.4">
      <c r="C225" s="26">
        <v>1</v>
      </c>
      <c r="D225" s="26" t="s">
        <v>26</v>
      </c>
      <c r="E225" s="26">
        <v>214</v>
      </c>
      <c r="F225" s="26">
        <v>865</v>
      </c>
      <c r="G225" s="22">
        <f t="shared" si="11"/>
        <v>195501</v>
      </c>
      <c r="H225" s="18" t="str">
        <f t="shared" si="9"/>
        <v/>
      </c>
      <c r="I225" s="22" t="str">
        <f t="shared" si="10"/>
        <v/>
      </c>
      <c r="J225" s="20" t="str">
        <f>IF(I225="", "", COUNT($I$12:$I225))</f>
        <v/>
      </c>
      <c r="K225" s="28" t="s">
        <v>243</v>
      </c>
    </row>
    <row r="226" spans="3:11" ht="13.5" customHeight="1" x14ac:dyDescent="0.4">
      <c r="C226" s="26">
        <v>1</v>
      </c>
      <c r="D226" s="26" t="s">
        <v>26</v>
      </c>
      <c r="E226" s="26">
        <v>215</v>
      </c>
      <c r="F226" s="26">
        <v>837</v>
      </c>
      <c r="G226" s="22">
        <f t="shared" si="11"/>
        <v>196338</v>
      </c>
      <c r="H226" s="18" t="str">
        <f t="shared" si="9"/>
        <v/>
      </c>
      <c r="I226" s="22" t="str">
        <f t="shared" si="10"/>
        <v/>
      </c>
      <c r="J226" s="20" t="str">
        <f>IF(I226="", "", COUNT($I$12:$I226))</f>
        <v/>
      </c>
      <c r="K226" s="28" t="s">
        <v>244</v>
      </c>
    </row>
    <row r="227" spans="3:11" ht="13.5" customHeight="1" x14ac:dyDescent="0.4">
      <c r="C227" s="26">
        <v>1</v>
      </c>
      <c r="D227" s="26" t="s">
        <v>26</v>
      </c>
      <c r="E227" s="26">
        <v>216</v>
      </c>
      <c r="F227" s="26">
        <v>1129</v>
      </c>
      <c r="G227" s="22">
        <f t="shared" si="11"/>
        <v>197467</v>
      </c>
      <c r="H227" s="18" t="str">
        <f t="shared" si="9"/>
        <v/>
      </c>
      <c r="I227" s="22" t="str">
        <f t="shared" si="10"/>
        <v/>
      </c>
      <c r="J227" s="20" t="str">
        <f>IF(I227="", "", COUNT($I$12:$I227))</f>
        <v/>
      </c>
      <c r="K227" s="28" t="s">
        <v>245</v>
      </c>
    </row>
    <row r="228" spans="3:11" ht="13.5" customHeight="1" x14ac:dyDescent="0.4">
      <c r="C228" s="26">
        <v>1</v>
      </c>
      <c r="D228" s="26" t="s">
        <v>26</v>
      </c>
      <c r="E228" s="26">
        <v>217</v>
      </c>
      <c r="F228" s="26">
        <v>704</v>
      </c>
      <c r="G228" s="22">
        <f t="shared" si="11"/>
        <v>198171</v>
      </c>
      <c r="H228" s="18" t="str">
        <f t="shared" si="9"/>
        <v/>
      </c>
      <c r="I228" s="22" t="str">
        <f t="shared" si="10"/>
        <v/>
      </c>
      <c r="J228" s="20" t="str">
        <f>IF(I228="", "", COUNT($I$12:$I228))</f>
        <v/>
      </c>
      <c r="K228" s="28" t="s">
        <v>246</v>
      </c>
    </row>
    <row r="229" spans="3:11" ht="13.5" customHeight="1" x14ac:dyDescent="0.4">
      <c r="C229" s="26">
        <v>1</v>
      </c>
      <c r="D229" s="26" t="s">
        <v>26</v>
      </c>
      <c r="E229" s="26">
        <v>218</v>
      </c>
      <c r="F229" s="26">
        <v>1189</v>
      </c>
      <c r="G229" s="22">
        <f t="shared" si="11"/>
        <v>199360</v>
      </c>
      <c r="H229" s="18" t="str">
        <f t="shared" si="9"/>
        <v/>
      </c>
      <c r="I229" s="22" t="str">
        <f t="shared" si="10"/>
        <v/>
      </c>
      <c r="J229" s="20" t="str">
        <f>IF(I229="", "", COUNT($I$12:$I229))</f>
        <v/>
      </c>
      <c r="K229" s="28" t="s">
        <v>247</v>
      </c>
    </row>
    <row r="230" spans="3:11" ht="13.5" customHeight="1" x14ac:dyDescent="0.4">
      <c r="C230" s="26">
        <v>1</v>
      </c>
      <c r="D230" s="26" t="s">
        <v>26</v>
      </c>
      <c r="E230" s="26">
        <v>219</v>
      </c>
      <c r="F230" s="26">
        <v>1179</v>
      </c>
      <c r="G230" s="22">
        <f t="shared" si="11"/>
        <v>200539</v>
      </c>
      <c r="H230" s="18">
        <f t="shared" si="9"/>
        <v>199455.4193548387</v>
      </c>
      <c r="I230" s="22">
        <f t="shared" si="10"/>
        <v>95.419354838697473</v>
      </c>
      <c r="J230" s="20">
        <f>IF(I230="", "", COUNT($I$12:$I230))</f>
        <v>21</v>
      </c>
      <c r="K230" s="28" t="s">
        <v>248</v>
      </c>
    </row>
    <row r="231" spans="3:11" ht="13.5" customHeight="1" x14ac:dyDescent="0.4">
      <c r="C231" s="26">
        <v>1</v>
      </c>
      <c r="D231" s="26" t="s">
        <v>26</v>
      </c>
      <c r="E231" s="26">
        <v>220</v>
      </c>
      <c r="F231" s="26">
        <v>727</v>
      </c>
      <c r="G231" s="22">
        <f t="shared" si="11"/>
        <v>201266</v>
      </c>
      <c r="H231" s="18" t="str">
        <f t="shared" si="9"/>
        <v/>
      </c>
      <c r="I231" s="22" t="str">
        <f t="shared" si="10"/>
        <v/>
      </c>
      <c r="J231" s="20" t="str">
        <f>IF(I231="", "", COUNT($I$12:$I231))</f>
        <v/>
      </c>
      <c r="K231" s="28" t="s">
        <v>249</v>
      </c>
    </row>
    <row r="232" spans="3:11" ht="13.5" customHeight="1" x14ac:dyDescent="0.4">
      <c r="C232" s="26">
        <v>1</v>
      </c>
      <c r="D232" s="26" t="s">
        <v>26</v>
      </c>
      <c r="E232" s="26">
        <v>221</v>
      </c>
      <c r="F232" s="26">
        <v>783</v>
      </c>
      <c r="G232" s="22">
        <f t="shared" si="11"/>
        <v>202049</v>
      </c>
      <c r="H232" s="18" t="str">
        <f t="shared" si="9"/>
        <v/>
      </c>
      <c r="I232" s="22" t="str">
        <f t="shared" si="10"/>
        <v/>
      </c>
      <c r="J232" s="20" t="str">
        <f>IF(I232="", "", COUNT($I$12:$I232))</f>
        <v/>
      </c>
      <c r="K232" s="28" t="s">
        <v>250</v>
      </c>
    </row>
    <row r="233" spans="3:11" ht="13.5" customHeight="1" x14ac:dyDescent="0.4">
      <c r="C233" s="26">
        <v>1</v>
      </c>
      <c r="D233" s="26" t="s">
        <v>26</v>
      </c>
      <c r="E233" s="26">
        <v>222</v>
      </c>
      <c r="F233" s="26">
        <v>564</v>
      </c>
      <c r="G233" s="22">
        <f t="shared" si="11"/>
        <v>202613</v>
      </c>
      <c r="H233" s="18" t="str">
        <f t="shared" si="9"/>
        <v/>
      </c>
      <c r="I233" s="22" t="str">
        <f t="shared" si="10"/>
        <v/>
      </c>
      <c r="J233" s="20" t="str">
        <f>IF(I233="", "", COUNT($I$12:$I233))</f>
        <v/>
      </c>
      <c r="K233" s="28" t="s">
        <v>251</v>
      </c>
    </row>
    <row r="234" spans="3:11" ht="13.5" customHeight="1" x14ac:dyDescent="0.4">
      <c r="C234" s="26">
        <v>1</v>
      </c>
      <c r="D234" s="26" t="s">
        <v>26</v>
      </c>
      <c r="E234" s="26">
        <v>223</v>
      </c>
      <c r="F234" s="26">
        <v>1079</v>
      </c>
      <c r="G234" s="22">
        <f t="shared" si="11"/>
        <v>203692</v>
      </c>
      <c r="H234" s="18" t="str">
        <f t="shared" si="9"/>
        <v/>
      </c>
      <c r="I234" s="22" t="str">
        <f t="shared" si="10"/>
        <v/>
      </c>
      <c r="J234" s="20" t="str">
        <f>IF(I234="", "", COUNT($I$12:$I234))</f>
        <v/>
      </c>
      <c r="K234" s="28" t="s">
        <v>252</v>
      </c>
    </row>
    <row r="235" spans="3:11" ht="13.5" customHeight="1" x14ac:dyDescent="0.4">
      <c r="C235" s="26">
        <v>1</v>
      </c>
      <c r="D235" s="26" t="s">
        <v>26</v>
      </c>
      <c r="E235" s="26">
        <v>224</v>
      </c>
      <c r="F235" s="26">
        <v>1181</v>
      </c>
      <c r="G235" s="22">
        <f t="shared" si="11"/>
        <v>204873</v>
      </c>
      <c r="H235" s="18" t="str">
        <f t="shared" si="9"/>
        <v/>
      </c>
      <c r="I235" s="22" t="str">
        <f t="shared" si="10"/>
        <v/>
      </c>
      <c r="J235" s="20" t="str">
        <f>IF(I235="", "", COUNT($I$12:$I235))</f>
        <v/>
      </c>
      <c r="K235" s="28" t="s">
        <v>253</v>
      </c>
    </row>
    <row r="236" spans="3:11" ht="13.5" customHeight="1" x14ac:dyDescent="0.4">
      <c r="C236" s="26">
        <v>1</v>
      </c>
      <c r="D236" s="26" t="s">
        <v>26</v>
      </c>
      <c r="E236" s="26">
        <v>225</v>
      </c>
      <c r="F236" s="26">
        <v>1184</v>
      </c>
      <c r="G236" s="22">
        <f t="shared" si="11"/>
        <v>206057</v>
      </c>
      <c r="H236" s="18" t="str">
        <f t="shared" si="9"/>
        <v/>
      </c>
      <c r="I236" s="22" t="str">
        <f t="shared" si="10"/>
        <v/>
      </c>
      <c r="J236" s="20" t="str">
        <f>IF(I236="", "", COUNT($I$12:$I236))</f>
        <v/>
      </c>
      <c r="K236" s="28" t="s">
        <v>254</v>
      </c>
    </row>
    <row r="237" spans="3:11" ht="13.5" customHeight="1" x14ac:dyDescent="0.4">
      <c r="C237" s="26">
        <v>1</v>
      </c>
      <c r="D237" s="26" t="s">
        <v>26</v>
      </c>
      <c r="E237" s="26">
        <v>226</v>
      </c>
      <c r="F237" s="26">
        <v>871</v>
      </c>
      <c r="G237" s="22">
        <f t="shared" si="11"/>
        <v>206928</v>
      </c>
      <c r="H237" s="18" t="str">
        <f t="shared" si="9"/>
        <v/>
      </c>
      <c r="I237" s="22" t="str">
        <f t="shared" si="10"/>
        <v/>
      </c>
      <c r="J237" s="20" t="str">
        <f>IF(I237="", "", COUNT($I$12:$I237))</f>
        <v/>
      </c>
      <c r="K237" s="28" t="s">
        <v>255</v>
      </c>
    </row>
    <row r="238" spans="3:11" ht="13.5" customHeight="1" x14ac:dyDescent="0.4">
      <c r="C238" s="26">
        <v>1</v>
      </c>
      <c r="D238" s="26" t="s">
        <v>26</v>
      </c>
      <c r="E238" s="26">
        <v>227</v>
      </c>
      <c r="F238" s="26">
        <v>993</v>
      </c>
      <c r="G238" s="22">
        <f t="shared" si="11"/>
        <v>207921</v>
      </c>
      <c r="H238" s="18" t="str">
        <f t="shared" si="9"/>
        <v/>
      </c>
      <c r="I238" s="22" t="str">
        <f t="shared" si="10"/>
        <v/>
      </c>
      <c r="J238" s="20" t="str">
        <f>IF(I238="", "", COUNT($I$12:$I238))</f>
        <v/>
      </c>
      <c r="K238" s="28" t="s">
        <v>256</v>
      </c>
    </row>
    <row r="239" spans="3:11" ht="13.5" customHeight="1" x14ac:dyDescent="0.4">
      <c r="C239" s="26">
        <v>1</v>
      </c>
      <c r="D239" s="26" t="s">
        <v>26</v>
      </c>
      <c r="E239" s="26">
        <v>228</v>
      </c>
      <c r="F239" s="26">
        <v>817</v>
      </c>
      <c r="G239" s="22">
        <f t="shared" si="11"/>
        <v>208738</v>
      </c>
      <c r="H239" s="18" t="str">
        <f t="shared" si="9"/>
        <v/>
      </c>
      <c r="I239" s="22" t="str">
        <f t="shared" si="10"/>
        <v/>
      </c>
      <c r="J239" s="20" t="str">
        <f>IF(I239="", "", COUNT($I$12:$I239))</f>
        <v/>
      </c>
      <c r="K239" s="28" t="s">
        <v>257</v>
      </c>
    </row>
    <row r="240" spans="3:11" ht="13.5" customHeight="1" x14ac:dyDescent="0.4">
      <c r="C240" s="26">
        <v>1</v>
      </c>
      <c r="D240" s="26" t="s">
        <v>26</v>
      </c>
      <c r="E240" s="26">
        <v>229</v>
      </c>
      <c r="F240" s="26">
        <v>1211</v>
      </c>
      <c r="G240" s="22">
        <f t="shared" si="11"/>
        <v>209949</v>
      </c>
      <c r="H240" s="18">
        <f t="shared" si="9"/>
        <v>208952.34408602148</v>
      </c>
      <c r="I240" s="22">
        <f t="shared" si="10"/>
        <v>214.34408602147596</v>
      </c>
      <c r="J240" s="20">
        <f>IF(I240="", "", COUNT($I$12:$I240))</f>
        <v>22</v>
      </c>
      <c r="K240" s="28" t="s">
        <v>258</v>
      </c>
    </row>
    <row r="241" spans="3:11" ht="13.5" customHeight="1" x14ac:dyDescent="0.4">
      <c r="C241" s="26">
        <v>1</v>
      </c>
      <c r="D241" s="26" t="s">
        <v>26</v>
      </c>
      <c r="E241" s="26">
        <v>230</v>
      </c>
      <c r="F241" s="26">
        <v>822</v>
      </c>
      <c r="G241" s="22">
        <f t="shared" si="11"/>
        <v>210771</v>
      </c>
      <c r="H241" s="18" t="str">
        <f t="shared" si="9"/>
        <v/>
      </c>
      <c r="I241" s="22" t="str">
        <f t="shared" si="10"/>
        <v/>
      </c>
      <c r="J241" s="20" t="str">
        <f>IF(I241="", "", COUNT($I$12:$I241))</f>
        <v/>
      </c>
      <c r="K241" s="28" t="s">
        <v>259</v>
      </c>
    </row>
    <row r="242" spans="3:11" ht="13.5" customHeight="1" x14ac:dyDescent="0.4">
      <c r="C242" s="26">
        <v>1</v>
      </c>
      <c r="D242" s="26" t="s">
        <v>26</v>
      </c>
      <c r="E242" s="26">
        <v>231</v>
      </c>
      <c r="F242" s="26">
        <v>781</v>
      </c>
      <c r="G242" s="22">
        <f t="shared" si="11"/>
        <v>211552</v>
      </c>
      <c r="H242" s="18" t="str">
        <f t="shared" si="9"/>
        <v/>
      </c>
      <c r="I242" s="22" t="str">
        <f t="shared" si="10"/>
        <v/>
      </c>
      <c r="J242" s="20" t="str">
        <f>IF(I242="", "", COUNT($I$12:$I242))</f>
        <v/>
      </c>
      <c r="K242" s="28" t="s">
        <v>260</v>
      </c>
    </row>
    <row r="243" spans="3:11" ht="13.5" customHeight="1" x14ac:dyDescent="0.4">
      <c r="C243" s="26">
        <v>1</v>
      </c>
      <c r="D243" s="26" t="s">
        <v>26</v>
      </c>
      <c r="E243" s="26">
        <v>232</v>
      </c>
      <c r="F243" s="26">
        <v>1014</v>
      </c>
      <c r="G243" s="22">
        <f t="shared" si="11"/>
        <v>212566</v>
      </c>
      <c r="H243" s="18" t="str">
        <f t="shared" si="9"/>
        <v/>
      </c>
      <c r="I243" s="22" t="str">
        <f t="shared" si="10"/>
        <v/>
      </c>
      <c r="J243" s="20" t="str">
        <f>IF(I243="", "", COUNT($I$12:$I243))</f>
        <v/>
      </c>
      <c r="K243" s="28" t="s">
        <v>261</v>
      </c>
    </row>
    <row r="244" spans="3:11" ht="13.5" customHeight="1" x14ac:dyDescent="0.4">
      <c r="C244" s="26">
        <v>1</v>
      </c>
      <c r="D244" s="26" t="s">
        <v>26</v>
      </c>
      <c r="E244" s="26">
        <v>233</v>
      </c>
      <c r="F244" s="26">
        <v>692</v>
      </c>
      <c r="G244" s="22">
        <f t="shared" si="11"/>
        <v>213258</v>
      </c>
      <c r="H244" s="18" t="str">
        <f t="shared" si="9"/>
        <v/>
      </c>
      <c r="I244" s="22" t="str">
        <f t="shared" si="10"/>
        <v/>
      </c>
      <c r="J244" s="20" t="str">
        <f>IF(I244="", "", COUNT($I$12:$I244))</f>
        <v/>
      </c>
      <c r="K244" s="28" t="s">
        <v>262</v>
      </c>
    </row>
    <row r="245" spans="3:11" ht="13.5" customHeight="1" x14ac:dyDescent="0.4">
      <c r="C245" s="26">
        <v>1</v>
      </c>
      <c r="D245" s="26" t="s">
        <v>26</v>
      </c>
      <c r="E245" s="26">
        <v>234</v>
      </c>
      <c r="F245" s="26">
        <v>723</v>
      </c>
      <c r="G245" s="22">
        <f t="shared" si="11"/>
        <v>213981</v>
      </c>
      <c r="H245" s="18" t="str">
        <f t="shared" si="9"/>
        <v/>
      </c>
      <c r="I245" s="22" t="str">
        <f t="shared" si="10"/>
        <v/>
      </c>
      <c r="J245" s="20" t="str">
        <f>IF(I245="", "", COUNT($I$12:$I245))</f>
        <v/>
      </c>
      <c r="K245" s="28" t="s">
        <v>263</v>
      </c>
    </row>
    <row r="246" spans="3:11" ht="13.5" customHeight="1" x14ac:dyDescent="0.4">
      <c r="C246" s="26">
        <v>1</v>
      </c>
      <c r="D246" s="26" t="s">
        <v>26</v>
      </c>
      <c r="E246" s="26">
        <v>235</v>
      </c>
      <c r="F246" s="26">
        <v>773</v>
      </c>
      <c r="G246" s="22">
        <f t="shared" si="11"/>
        <v>214754</v>
      </c>
      <c r="H246" s="18" t="str">
        <f t="shared" si="9"/>
        <v/>
      </c>
      <c r="I246" s="22" t="str">
        <f t="shared" si="10"/>
        <v/>
      </c>
      <c r="J246" s="20" t="str">
        <f>IF(I246="", "", COUNT($I$12:$I246))</f>
        <v/>
      </c>
      <c r="K246" s="28" t="s">
        <v>264</v>
      </c>
    </row>
    <row r="247" spans="3:11" ht="13.5" customHeight="1" x14ac:dyDescent="0.4">
      <c r="C247" s="26">
        <v>1</v>
      </c>
      <c r="D247" s="26" t="s">
        <v>26</v>
      </c>
      <c r="E247" s="26">
        <v>236</v>
      </c>
      <c r="F247" s="26">
        <v>691</v>
      </c>
      <c r="G247" s="22">
        <f t="shared" si="11"/>
        <v>215445</v>
      </c>
      <c r="H247" s="18" t="str">
        <f t="shared" si="9"/>
        <v/>
      </c>
      <c r="I247" s="22" t="str">
        <f t="shared" si="10"/>
        <v/>
      </c>
      <c r="J247" s="20" t="str">
        <f>IF(I247="", "", COUNT($I$12:$I247))</f>
        <v/>
      </c>
      <c r="K247" s="28" t="s">
        <v>265</v>
      </c>
    </row>
    <row r="248" spans="3:11" ht="13.5" customHeight="1" x14ac:dyDescent="0.4">
      <c r="C248" s="26">
        <v>1</v>
      </c>
      <c r="D248" s="26" t="s">
        <v>26</v>
      </c>
      <c r="E248" s="26">
        <v>237</v>
      </c>
      <c r="F248" s="26">
        <v>1065</v>
      </c>
      <c r="G248" s="22">
        <f t="shared" si="11"/>
        <v>216510</v>
      </c>
      <c r="H248" s="18" t="str">
        <f t="shared" si="9"/>
        <v/>
      </c>
      <c r="I248" s="22" t="str">
        <f t="shared" si="10"/>
        <v/>
      </c>
      <c r="J248" s="20" t="str">
        <f>IF(I248="", "", COUNT($I$12:$I248))</f>
        <v/>
      </c>
      <c r="K248" s="28" t="s">
        <v>266</v>
      </c>
    </row>
    <row r="249" spans="3:11" ht="13.5" customHeight="1" x14ac:dyDescent="0.4">
      <c r="C249" s="26">
        <v>1</v>
      </c>
      <c r="D249" s="26" t="s">
        <v>26</v>
      </c>
      <c r="E249" s="26">
        <v>238</v>
      </c>
      <c r="F249" s="26">
        <v>1081</v>
      </c>
      <c r="G249" s="22">
        <f t="shared" si="11"/>
        <v>217591</v>
      </c>
      <c r="H249" s="18" t="str">
        <f t="shared" si="9"/>
        <v/>
      </c>
      <c r="I249" s="22" t="str">
        <f t="shared" si="10"/>
        <v/>
      </c>
      <c r="J249" s="20" t="str">
        <f>IF(I249="", "", COUNT($I$12:$I249))</f>
        <v/>
      </c>
      <c r="K249" s="28" t="s">
        <v>267</v>
      </c>
    </row>
    <row r="250" spans="3:11" ht="13.5" customHeight="1" x14ac:dyDescent="0.4">
      <c r="C250" s="26">
        <v>1</v>
      </c>
      <c r="D250" s="26" t="s">
        <v>26</v>
      </c>
      <c r="E250" s="26">
        <v>239</v>
      </c>
      <c r="F250" s="26">
        <v>1405</v>
      </c>
      <c r="G250" s="22">
        <f t="shared" si="11"/>
        <v>218996</v>
      </c>
      <c r="H250" s="18">
        <f t="shared" si="9"/>
        <v>218449.26881720428</v>
      </c>
      <c r="I250" s="22">
        <f t="shared" si="10"/>
        <v>858.26881720428355</v>
      </c>
      <c r="J250" s="20">
        <f>IF(I250="", "", COUNT($I$12:$I250))</f>
        <v>23</v>
      </c>
      <c r="K250" s="28" t="s">
        <v>268</v>
      </c>
    </row>
    <row r="251" spans="3:11" ht="13.5" customHeight="1" x14ac:dyDescent="0.4">
      <c r="C251" s="26">
        <v>1</v>
      </c>
      <c r="D251" s="26" t="s">
        <v>26</v>
      </c>
      <c r="E251" s="26">
        <v>240</v>
      </c>
      <c r="F251" s="26">
        <v>880</v>
      </c>
      <c r="G251" s="22">
        <f t="shared" si="11"/>
        <v>219876</v>
      </c>
      <c r="H251" s="18" t="str">
        <f t="shared" si="9"/>
        <v/>
      </c>
      <c r="I251" s="22" t="str">
        <f t="shared" si="10"/>
        <v/>
      </c>
      <c r="J251" s="20" t="str">
        <f>IF(I251="", "", COUNT($I$12:$I251))</f>
        <v/>
      </c>
      <c r="K251" s="28" t="s">
        <v>269</v>
      </c>
    </row>
    <row r="252" spans="3:11" ht="13.5" customHeight="1" x14ac:dyDescent="0.4">
      <c r="C252" s="26">
        <v>1</v>
      </c>
      <c r="D252" s="26" t="s">
        <v>26</v>
      </c>
      <c r="E252" s="26">
        <v>241</v>
      </c>
      <c r="F252" s="26">
        <v>745</v>
      </c>
      <c r="G252" s="22">
        <f t="shared" si="11"/>
        <v>220621</v>
      </c>
      <c r="H252" s="18" t="str">
        <f t="shared" si="9"/>
        <v/>
      </c>
      <c r="I252" s="22" t="str">
        <f t="shared" si="10"/>
        <v/>
      </c>
      <c r="J252" s="20" t="str">
        <f>IF(I252="", "", COUNT($I$12:$I252))</f>
        <v/>
      </c>
      <c r="K252" s="28" t="s">
        <v>270</v>
      </c>
    </row>
    <row r="253" spans="3:11" ht="13.5" customHeight="1" x14ac:dyDescent="0.4">
      <c r="C253" s="26">
        <v>1</v>
      </c>
      <c r="D253" s="26" t="s">
        <v>26</v>
      </c>
      <c r="E253" s="26">
        <v>242</v>
      </c>
      <c r="F253" s="26">
        <v>697</v>
      </c>
      <c r="G253" s="22">
        <f t="shared" si="11"/>
        <v>221318</v>
      </c>
      <c r="H253" s="18" t="str">
        <f t="shared" si="9"/>
        <v/>
      </c>
      <c r="I253" s="22" t="str">
        <f t="shared" si="10"/>
        <v/>
      </c>
      <c r="J253" s="20" t="str">
        <f>IF(I253="", "", COUNT($I$12:$I253))</f>
        <v/>
      </c>
      <c r="K253" s="28" t="s">
        <v>271</v>
      </c>
    </row>
    <row r="254" spans="3:11" ht="13.5" customHeight="1" x14ac:dyDescent="0.4">
      <c r="C254" s="26">
        <v>1</v>
      </c>
      <c r="D254" s="26" t="s">
        <v>26</v>
      </c>
      <c r="E254" s="26">
        <v>243</v>
      </c>
      <c r="F254" s="26">
        <v>934</v>
      </c>
      <c r="G254" s="22">
        <f t="shared" si="11"/>
        <v>222252</v>
      </c>
      <c r="H254" s="18" t="str">
        <f t="shared" si="9"/>
        <v/>
      </c>
      <c r="I254" s="22" t="str">
        <f t="shared" si="10"/>
        <v/>
      </c>
      <c r="J254" s="20" t="str">
        <f>IF(I254="", "", COUNT($I$12:$I254))</f>
        <v/>
      </c>
      <c r="K254" s="28" t="s">
        <v>272</v>
      </c>
    </row>
    <row r="255" spans="3:11" ht="13.5" customHeight="1" x14ac:dyDescent="0.4">
      <c r="C255" s="26">
        <v>1</v>
      </c>
      <c r="D255" s="26" t="s">
        <v>26</v>
      </c>
      <c r="E255" s="26">
        <v>244</v>
      </c>
      <c r="F255" s="26">
        <v>517</v>
      </c>
      <c r="G255" s="22">
        <f t="shared" si="11"/>
        <v>222769</v>
      </c>
      <c r="H255" s="18" t="str">
        <f t="shared" si="9"/>
        <v/>
      </c>
      <c r="I255" s="22" t="str">
        <f t="shared" si="10"/>
        <v/>
      </c>
      <c r="J255" s="20" t="str">
        <f>IF(I255="", "", COUNT($I$12:$I255))</f>
        <v/>
      </c>
      <c r="K255" s="28" t="s">
        <v>273</v>
      </c>
    </row>
    <row r="256" spans="3:11" ht="13.5" customHeight="1" x14ac:dyDescent="0.4">
      <c r="C256" s="26">
        <v>1</v>
      </c>
      <c r="D256" s="26" t="s">
        <v>26</v>
      </c>
      <c r="E256" s="26">
        <v>245</v>
      </c>
      <c r="F256" s="26">
        <v>1302</v>
      </c>
      <c r="G256" s="22">
        <f t="shared" si="11"/>
        <v>224071</v>
      </c>
      <c r="H256" s="18" t="str">
        <f t="shared" si="9"/>
        <v/>
      </c>
      <c r="I256" s="22" t="str">
        <f t="shared" si="10"/>
        <v/>
      </c>
      <c r="J256" s="20" t="str">
        <f>IF(I256="", "", COUNT($I$12:$I256))</f>
        <v/>
      </c>
      <c r="K256" s="28" t="s">
        <v>274</v>
      </c>
    </row>
    <row r="257" spans="3:11" ht="13.5" customHeight="1" x14ac:dyDescent="0.4">
      <c r="C257" s="26">
        <v>1</v>
      </c>
      <c r="D257" s="26" t="s">
        <v>26</v>
      </c>
      <c r="E257" s="26">
        <v>246</v>
      </c>
      <c r="F257" s="26">
        <v>640</v>
      </c>
      <c r="G257" s="22">
        <f t="shared" si="11"/>
        <v>224711</v>
      </c>
      <c r="H257" s="18" t="str">
        <f t="shared" si="9"/>
        <v/>
      </c>
      <c r="I257" s="22" t="str">
        <f t="shared" si="10"/>
        <v/>
      </c>
      <c r="J257" s="20" t="str">
        <f>IF(I257="", "", COUNT($I$12:$I257))</f>
        <v/>
      </c>
      <c r="K257" s="28" t="s">
        <v>275</v>
      </c>
    </row>
    <row r="258" spans="3:11" ht="13.5" customHeight="1" x14ac:dyDescent="0.4">
      <c r="C258" s="26">
        <v>1</v>
      </c>
      <c r="D258" s="26" t="s">
        <v>26</v>
      </c>
      <c r="E258" s="26">
        <v>247</v>
      </c>
      <c r="F258" s="26">
        <v>694</v>
      </c>
      <c r="G258" s="22">
        <f t="shared" si="11"/>
        <v>225405</v>
      </c>
      <c r="H258" s="18" t="str">
        <f t="shared" si="9"/>
        <v/>
      </c>
      <c r="I258" s="22" t="str">
        <f t="shared" si="10"/>
        <v/>
      </c>
      <c r="J258" s="20" t="str">
        <f>IF(I258="", "", COUNT($I$12:$I258))</f>
        <v/>
      </c>
      <c r="K258" s="28" t="s">
        <v>276</v>
      </c>
    </row>
    <row r="259" spans="3:11" ht="13.5" customHeight="1" x14ac:dyDescent="0.4">
      <c r="C259" s="26">
        <v>1</v>
      </c>
      <c r="D259" s="26" t="s">
        <v>26</v>
      </c>
      <c r="E259" s="26">
        <v>248</v>
      </c>
      <c r="F259" s="26">
        <v>898</v>
      </c>
      <c r="G259" s="22">
        <f t="shared" si="11"/>
        <v>226303</v>
      </c>
      <c r="H259" s="18" t="str">
        <f t="shared" si="9"/>
        <v/>
      </c>
      <c r="I259" s="22" t="str">
        <f t="shared" si="10"/>
        <v/>
      </c>
      <c r="J259" s="20" t="str">
        <f>IF(I259="", "", COUNT($I$12:$I259))</f>
        <v/>
      </c>
      <c r="K259" s="28" t="s">
        <v>277</v>
      </c>
    </row>
    <row r="260" spans="3:11" ht="13.5" customHeight="1" x14ac:dyDescent="0.4">
      <c r="C260" s="26">
        <v>1</v>
      </c>
      <c r="D260" s="26" t="s">
        <v>26</v>
      </c>
      <c r="E260" s="26">
        <v>249</v>
      </c>
      <c r="F260" s="26">
        <v>1355</v>
      </c>
      <c r="G260" s="22">
        <f t="shared" si="11"/>
        <v>227658</v>
      </c>
      <c r="H260" s="18" t="str">
        <f t="shared" si="9"/>
        <v/>
      </c>
      <c r="I260" s="22" t="str">
        <f t="shared" si="10"/>
        <v/>
      </c>
      <c r="J260" s="20" t="str">
        <f>IF(I260="", "", COUNT($I$12:$I260))</f>
        <v/>
      </c>
      <c r="K260" s="28" t="s">
        <v>278</v>
      </c>
    </row>
    <row r="261" spans="3:11" ht="13.5" customHeight="1" x14ac:dyDescent="0.4">
      <c r="C261" s="26">
        <v>1</v>
      </c>
      <c r="D261" s="26" t="s">
        <v>26</v>
      </c>
      <c r="E261" s="26">
        <v>250</v>
      </c>
      <c r="F261" s="26">
        <v>870</v>
      </c>
      <c r="G261" s="22">
        <f t="shared" si="11"/>
        <v>228528</v>
      </c>
      <c r="H261" s="18">
        <f t="shared" si="9"/>
        <v>227946.19354838709</v>
      </c>
      <c r="I261" s="22">
        <f t="shared" si="10"/>
        <v>288.19354838709114</v>
      </c>
      <c r="J261" s="20">
        <f>IF(I261="", "", COUNT($I$12:$I261))</f>
        <v>24</v>
      </c>
      <c r="K261" s="28" t="s">
        <v>279</v>
      </c>
    </row>
    <row r="262" spans="3:11" ht="13.5" customHeight="1" x14ac:dyDescent="0.4">
      <c r="C262" s="26">
        <v>1</v>
      </c>
      <c r="D262" s="26" t="s">
        <v>26</v>
      </c>
      <c r="E262" s="26">
        <v>251</v>
      </c>
      <c r="F262" s="26">
        <v>698</v>
      </c>
      <c r="G262" s="22">
        <f t="shared" si="11"/>
        <v>229226</v>
      </c>
      <c r="H262" s="18" t="str">
        <f t="shared" si="9"/>
        <v/>
      </c>
      <c r="I262" s="22" t="str">
        <f t="shared" si="10"/>
        <v/>
      </c>
      <c r="J262" s="20" t="str">
        <f>IF(I262="", "", COUNT($I$12:$I262))</f>
        <v/>
      </c>
      <c r="K262" s="28" t="s">
        <v>280</v>
      </c>
    </row>
    <row r="263" spans="3:11" ht="13.5" customHeight="1" x14ac:dyDescent="0.4">
      <c r="C263" s="26">
        <v>1</v>
      </c>
      <c r="D263" s="26" t="s">
        <v>26</v>
      </c>
      <c r="E263" s="26">
        <v>252</v>
      </c>
      <c r="F263" s="26">
        <v>832</v>
      </c>
      <c r="G263" s="22">
        <f t="shared" si="11"/>
        <v>230058</v>
      </c>
      <c r="H263" s="18" t="str">
        <f t="shared" si="9"/>
        <v/>
      </c>
      <c r="I263" s="22" t="str">
        <f t="shared" si="10"/>
        <v/>
      </c>
      <c r="J263" s="20" t="str">
        <f>IF(I263="", "", COUNT($I$12:$I263))</f>
        <v/>
      </c>
      <c r="K263" s="28" t="s">
        <v>281</v>
      </c>
    </row>
    <row r="264" spans="3:11" ht="13.5" customHeight="1" x14ac:dyDescent="0.4">
      <c r="C264" s="26">
        <v>1</v>
      </c>
      <c r="D264" s="26" t="s">
        <v>26</v>
      </c>
      <c r="E264" s="26">
        <v>253</v>
      </c>
      <c r="F264" s="26">
        <v>732</v>
      </c>
      <c r="G264" s="22">
        <f t="shared" si="11"/>
        <v>230790</v>
      </c>
      <c r="H264" s="18" t="str">
        <f t="shared" si="9"/>
        <v/>
      </c>
      <c r="I264" s="22" t="str">
        <f t="shared" si="10"/>
        <v/>
      </c>
      <c r="J264" s="20" t="str">
        <f>IF(I264="", "", COUNT($I$12:$I264))</f>
        <v/>
      </c>
      <c r="K264" s="28" t="s">
        <v>282</v>
      </c>
    </row>
    <row r="265" spans="3:11" ht="13.5" customHeight="1" x14ac:dyDescent="0.4">
      <c r="C265" s="26">
        <v>1</v>
      </c>
      <c r="D265" s="26" t="s">
        <v>26</v>
      </c>
      <c r="E265" s="26">
        <v>254</v>
      </c>
      <c r="F265" s="26">
        <v>860</v>
      </c>
      <c r="G265" s="22">
        <f t="shared" si="11"/>
        <v>231650</v>
      </c>
      <c r="H265" s="18" t="str">
        <f t="shared" si="9"/>
        <v/>
      </c>
      <c r="I265" s="22" t="str">
        <f t="shared" si="10"/>
        <v/>
      </c>
      <c r="J265" s="20" t="str">
        <f>IF(I265="", "", COUNT($I$12:$I265))</f>
        <v/>
      </c>
      <c r="K265" s="28" t="s">
        <v>283</v>
      </c>
    </row>
    <row r="266" spans="3:11" ht="13.5" customHeight="1" x14ac:dyDescent="0.4">
      <c r="C266" s="26">
        <v>1</v>
      </c>
      <c r="D266" s="26" t="s">
        <v>26</v>
      </c>
      <c r="E266" s="26">
        <v>255</v>
      </c>
      <c r="F266" s="26">
        <v>725</v>
      </c>
      <c r="G266" s="22">
        <f t="shared" si="11"/>
        <v>232375</v>
      </c>
      <c r="H266" s="18" t="str">
        <f t="shared" si="9"/>
        <v/>
      </c>
      <c r="I266" s="22" t="str">
        <f t="shared" si="10"/>
        <v/>
      </c>
      <c r="J266" s="20" t="str">
        <f>IF(I266="", "", COUNT($I$12:$I266))</f>
        <v/>
      </c>
      <c r="K266" s="28" t="s">
        <v>284</v>
      </c>
    </row>
    <row r="267" spans="3:11" ht="13.5" customHeight="1" x14ac:dyDescent="0.4">
      <c r="C267" s="26">
        <v>1</v>
      </c>
      <c r="D267" s="26" t="s">
        <v>26</v>
      </c>
      <c r="E267" s="26">
        <v>256</v>
      </c>
      <c r="F267" s="26">
        <v>846</v>
      </c>
      <c r="G267" s="22">
        <f t="shared" si="11"/>
        <v>233221</v>
      </c>
      <c r="H267" s="18" t="str">
        <f t="shared" si="9"/>
        <v/>
      </c>
      <c r="I267" s="22" t="str">
        <f t="shared" si="10"/>
        <v/>
      </c>
      <c r="J267" s="20" t="str">
        <f>IF(I267="", "", COUNT($I$12:$I267))</f>
        <v/>
      </c>
      <c r="K267" s="28" t="s">
        <v>285</v>
      </c>
    </row>
    <row r="268" spans="3:11" ht="13.5" customHeight="1" x14ac:dyDescent="0.4">
      <c r="C268" s="26">
        <v>1</v>
      </c>
      <c r="D268" s="26" t="s">
        <v>26</v>
      </c>
      <c r="E268" s="26">
        <v>257</v>
      </c>
      <c r="F268" s="26">
        <v>610</v>
      </c>
      <c r="G268" s="22">
        <f t="shared" si="11"/>
        <v>233831</v>
      </c>
      <c r="H268" s="18" t="str">
        <f t="shared" ref="H268:H331" si="12">IF(AND(G268 &gt;= ($D$5 + ($C$5 * (INT((G268 - $D$5)/$C$5)))), G267 &lt; ($D$5 + ($C$5 * (INT((G268 - $D$5)/$C$5))))), $D$5 + ($C$5 * INT((G268 - $D$5)/$C$5)), "")</f>
        <v/>
      </c>
      <c r="I268" s="22" t="str">
        <f t="shared" ref="I268:I331" si="13">IFERROR(H268-G267, "")</f>
        <v/>
      </c>
      <c r="J268" s="20" t="str">
        <f>IF(I268="", "", COUNT($I$12:$I268))</f>
        <v/>
      </c>
      <c r="K268" s="28" t="s">
        <v>286</v>
      </c>
    </row>
    <row r="269" spans="3:11" ht="13.5" customHeight="1" x14ac:dyDescent="0.4">
      <c r="C269" s="26">
        <v>1</v>
      </c>
      <c r="D269" s="26" t="s">
        <v>26</v>
      </c>
      <c r="E269" s="26">
        <v>258</v>
      </c>
      <c r="F269" s="26">
        <v>939</v>
      </c>
      <c r="G269" s="22">
        <f t="shared" si="11"/>
        <v>234770</v>
      </c>
      <c r="H269" s="18" t="str">
        <f t="shared" si="12"/>
        <v/>
      </c>
      <c r="I269" s="22" t="str">
        <f t="shared" si="13"/>
        <v/>
      </c>
      <c r="J269" s="20" t="str">
        <f>IF(I269="", "", COUNT($I$12:$I269))</f>
        <v/>
      </c>
      <c r="K269" s="28" t="s">
        <v>287</v>
      </c>
    </row>
    <row r="270" spans="3:11" ht="13.5" customHeight="1" x14ac:dyDescent="0.4">
      <c r="C270" s="26">
        <v>1</v>
      </c>
      <c r="D270" s="26" t="s">
        <v>26</v>
      </c>
      <c r="E270" s="26">
        <v>259</v>
      </c>
      <c r="F270" s="26">
        <v>911</v>
      </c>
      <c r="G270" s="22">
        <f t="shared" ref="G270:G333" si="14">G269+F270</f>
        <v>235681</v>
      </c>
      <c r="H270" s="18" t="str">
        <f t="shared" si="12"/>
        <v/>
      </c>
      <c r="I270" s="22" t="str">
        <f t="shared" si="13"/>
        <v/>
      </c>
      <c r="J270" s="20" t="str">
        <f>IF(I270="", "", COUNT($I$12:$I270))</f>
        <v/>
      </c>
      <c r="K270" s="28" t="s">
        <v>288</v>
      </c>
    </row>
    <row r="271" spans="3:11" ht="13.5" customHeight="1" x14ac:dyDescent="0.4">
      <c r="C271" s="26">
        <v>1</v>
      </c>
      <c r="D271" s="26" t="s">
        <v>26</v>
      </c>
      <c r="E271" s="26">
        <v>260</v>
      </c>
      <c r="F271" s="26">
        <v>1207</v>
      </c>
      <c r="G271" s="22">
        <f t="shared" si="14"/>
        <v>236888</v>
      </c>
      <c r="H271" s="18" t="str">
        <f t="shared" si="12"/>
        <v/>
      </c>
      <c r="I271" s="22" t="str">
        <f t="shared" si="13"/>
        <v/>
      </c>
      <c r="J271" s="20" t="str">
        <f>IF(I271="", "", COUNT($I$12:$I271))</f>
        <v/>
      </c>
      <c r="K271" s="28" t="s">
        <v>289</v>
      </c>
    </row>
    <row r="272" spans="3:11" ht="13.5" customHeight="1" x14ac:dyDescent="0.4">
      <c r="C272" s="26">
        <v>1</v>
      </c>
      <c r="D272" s="26" t="s">
        <v>26</v>
      </c>
      <c r="E272" s="26">
        <v>261</v>
      </c>
      <c r="F272" s="26">
        <v>922</v>
      </c>
      <c r="G272" s="22">
        <f t="shared" si="14"/>
        <v>237810</v>
      </c>
      <c r="H272" s="18">
        <f t="shared" si="12"/>
        <v>237443.11827956987</v>
      </c>
      <c r="I272" s="22">
        <f t="shared" si="13"/>
        <v>555.11827956986963</v>
      </c>
      <c r="J272" s="20">
        <f>IF(I272="", "", COUNT($I$12:$I272))</f>
        <v>25</v>
      </c>
      <c r="K272" s="28" t="s">
        <v>290</v>
      </c>
    </row>
    <row r="273" spans="3:11" ht="13.5" customHeight="1" x14ac:dyDescent="0.4">
      <c r="C273" s="26">
        <v>1</v>
      </c>
      <c r="D273" s="26" t="s">
        <v>26</v>
      </c>
      <c r="E273" s="26">
        <v>262</v>
      </c>
      <c r="F273" s="26">
        <v>1251</v>
      </c>
      <c r="G273" s="22">
        <f t="shared" si="14"/>
        <v>239061</v>
      </c>
      <c r="H273" s="18" t="str">
        <f t="shared" si="12"/>
        <v/>
      </c>
      <c r="I273" s="22" t="str">
        <f t="shared" si="13"/>
        <v/>
      </c>
      <c r="J273" s="20" t="str">
        <f>IF(I273="", "", COUNT($I$12:$I273))</f>
        <v/>
      </c>
      <c r="K273" s="28" t="s">
        <v>291</v>
      </c>
    </row>
    <row r="274" spans="3:11" ht="13.5" customHeight="1" x14ac:dyDescent="0.4">
      <c r="C274" s="26">
        <v>1</v>
      </c>
      <c r="D274" s="26" t="s">
        <v>26</v>
      </c>
      <c r="E274" s="26">
        <v>263</v>
      </c>
      <c r="F274" s="26">
        <v>919</v>
      </c>
      <c r="G274" s="22">
        <f t="shared" si="14"/>
        <v>239980</v>
      </c>
      <c r="H274" s="18" t="str">
        <f t="shared" si="12"/>
        <v/>
      </c>
      <c r="I274" s="22" t="str">
        <f t="shared" si="13"/>
        <v/>
      </c>
      <c r="J274" s="20" t="str">
        <f>IF(I274="", "", COUNT($I$12:$I274))</f>
        <v/>
      </c>
      <c r="K274" s="28" t="s">
        <v>292</v>
      </c>
    </row>
    <row r="275" spans="3:11" ht="13.5" customHeight="1" x14ac:dyDescent="0.4">
      <c r="C275" s="26">
        <v>1</v>
      </c>
      <c r="D275" s="26" t="s">
        <v>26</v>
      </c>
      <c r="E275" s="26">
        <v>264</v>
      </c>
      <c r="F275" s="26">
        <v>701</v>
      </c>
      <c r="G275" s="22">
        <f t="shared" si="14"/>
        <v>240681</v>
      </c>
      <c r="H275" s="18" t="str">
        <f t="shared" si="12"/>
        <v/>
      </c>
      <c r="I275" s="22" t="str">
        <f t="shared" si="13"/>
        <v/>
      </c>
      <c r="J275" s="20" t="str">
        <f>IF(I275="", "", COUNT($I$12:$I275))</f>
        <v/>
      </c>
      <c r="K275" s="28" t="s">
        <v>293</v>
      </c>
    </row>
    <row r="276" spans="3:11" ht="13.5" customHeight="1" x14ac:dyDescent="0.4">
      <c r="C276" s="26">
        <v>1</v>
      </c>
      <c r="D276" s="26" t="s">
        <v>26</v>
      </c>
      <c r="E276" s="26">
        <v>265</v>
      </c>
      <c r="F276" s="26">
        <v>957</v>
      </c>
      <c r="G276" s="22">
        <f t="shared" si="14"/>
        <v>241638</v>
      </c>
      <c r="H276" s="18" t="str">
        <f t="shared" si="12"/>
        <v/>
      </c>
      <c r="I276" s="22" t="str">
        <f t="shared" si="13"/>
        <v/>
      </c>
      <c r="J276" s="20" t="str">
        <f>IF(I276="", "", COUNT($I$12:$I276))</f>
        <v/>
      </c>
      <c r="K276" s="28" t="s">
        <v>294</v>
      </c>
    </row>
    <row r="277" spans="3:11" ht="13.5" customHeight="1" x14ac:dyDescent="0.4">
      <c r="C277" s="26">
        <v>1</v>
      </c>
      <c r="D277" s="26" t="s">
        <v>26</v>
      </c>
      <c r="E277" s="26">
        <v>266</v>
      </c>
      <c r="F277" s="26">
        <v>1024</v>
      </c>
      <c r="G277" s="22">
        <f t="shared" si="14"/>
        <v>242662</v>
      </c>
      <c r="H277" s="18" t="str">
        <f t="shared" si="12"/>
        <v/>
      </c>
      <c r="I277" s="22" t="str">
        <f t="shared" si="13"/>
        <v/>
      </c>
      <c r="J277" s="20" t="str">
        <f>IF(I277="", "", COUNT($I$12:$I277))</f>
        <v/>
      </c>
      <c r="K277" s="28" t="s">
        <v>295</v>
      </c>
    </row>
    <row r="278" spans="3:11" ht="13.5" customHeight="1" x14ac:dyDescent="0.4">
      <c r="C278" s="26">
        <v>1</v>
      </c>
      <c r="D278" s="26" t="s">
        <v>26</v>
      </c>
      <c r="E278" s="26">
        <v>267</v>
      </c>
      <c r="F278" s="26">
        <v>801</v>
      </c>
      <c r="G278" s="22">
        <f t="shared" si="14"/>
        <v>243463</v>
      </c>
      <c r="H278" s="18" t="str">
        <f t="shared" si="12"/>
        <v/>
      </c>
      <c r="I278" s="22" t="str">
        <f t="shared" si="13"/>
        <v/>
      </c>
      <c r="J278" s="20" t="str">
        <f>IF(I278="", "", COUNT($I$12:$I278))</f>
        <v/>
      </c>
      <c r="K278" s="28" t="s">
        <v>296</v>
      </c>
    </row>
    <row r="279" spans="3:11" ht="13.5" customHeight="1" x14ac:dyDescent="0.4">
      <c r="C279" s="26">
        <v>1</v>
      </c>
      <c r="D279" s="26" t="s">
        <v>26</v>
      </c>
      <c r="E279" s="26">
        <v>268</v>
      </c>
      <c r="F279" s="26">
        <v>641</v>
      </c>
      <c r="G279" s="22">
        <f t="shared" si="14"/>
        <v>244104</v>
      </c>
      <c r="H279" s="18" t="str">
        <f t="shared" si="12"/>
        <v/>
      </c>
      <c r="I279" s="22" t="str">
        <f t="shared" si="13"/>
        <v/>
      </c>
      <c r="J279" s="20" t="str">
        <f>IF(I279="", "", COUNT($I$12:$I279))</f>
        <v/>
      </c>
      <c r="K279" s="28" t="s">
        <v>297</v>
      </c>
    </row>
    <row r="280" spans="3:11" ht="13.5" customHeight="1" x14ac:dyDescent="0.4">
      <c r="C280" s="26">
        <v>1</v>
      </c>
      <c r="D280" s="26" t="s">
        <v>26</v>
      </c>
      <c r="E280" s="26">
        <v>269</v>
      </c>
      <c r="F280" s="26">
        <v>709</v>
      </c>
      <c r="G280" s="22">
        <f t="shared" si="14"/>
        <v>244813</v>
      </c>
      <c r="H280" s="18" t="str">
        <f t="shared" si="12"/>
        <v/>
      </c>
      <c r="I280" s="22" t="str">
        <f t="shared" si="13"/>
        <v/>
      </c>
      <c r="J280" s="20" t="str">
        <f>IF(I280="", "", COUNT($I$12:$I280))</f>
        <v/>
      </c>
      <c r="K280" s="28" t="s">
        <v>298</v>
      </c>
    </row>
    <row r="281" spans="3:11" ht="13.5" customHeight="1" x14ac:dyDescent="0.4">
      <c r="C281" s="26">
        <v>1</v>
      </c>
      <c r="D281" s="26" t="s">
        <v>26</v>
      </c>
      <c r="E281" s="26">
        <v>270</v>
      </c>
      <c r="F281" s="26">
        <v>1243</v>
      </c>
      <c r="G281" s="22">
        <f t="shared" si="14"/>
        <v>246056</v>
      </c>
      <c r="H281" s="18" t="str">
        <f t="shared" si="12"/>
        <v/>
      </c>
      <c r="I281" s="22" t="str">
        <f t="shared" si="13"/>
        <v/>
      </c>
      <c r="J281" s="20" t="str">
        <f>IF(I281="", "", COUNT($I$12:$I281))</f>
        <v/>
      </c>
      <c r="K281" s="28" t="s">
        <v>299</v>
      </c>
    </row>
    <row r="282" spans="3:11" ht="13.5" customHeight="1" x14ac:dyDescent="0.4">
      <c r="C282" s="26">
        <v>1</v>
      </c>
      <c r="D282" s="26" t="s">
        <v>26</v>
      </c>
      <c r="E282" s="26">
        <v>271</v>
      </c>
      <c r="F282" s="26">
        <v>1348</v>
      </c>
      <c r="G282" s="22">
        <f t="shared" si="14"/>
        <v>247404</v>
      </c>
      <c r="H282" s="18">
        <f t="shared" si="12"/>
        <v>246940.04301075268</v>
      </c>
      <c r="I282" s="22">
        <f t="shared" si="13"/>
        <v>884.04301075267722</v>
      </c>
      <c r="J282" s="20">
        <f>IF(I282="", "", COUNT($I$12:$I282))</f>
        <v>26</v>
      </c>
      <c r="K282" s="28" t="s">
        <v>300</v>
      </c>
    </row>
    <row r="283" spans="3:11" ht="13.5" customHeight="1" x14ac:dyDescent="0.4">
      <c r="C283" s="26">
        <v>1</v>
      </c>
      <c r="D283" s="26" t="s">
        <v>26</v>
      </c>
      <c r="E283" s="26">
        <v>272</v>
      </c>
      <c r="F283" s="26">
        <v>978</v>
      </c>
      <c r="G283" s="22">
        <f t="shared" si="14"/>
        <v>248382</v>
      </c>
      <c r="H283" s="18" t="str">
        <f t="shared" si="12"/>
        <v/>
      </c>
      <c r="I283" s="22" t="str">
        <f t="shared" si="13"/>
        <v/>
      </c>
      <c r="J283" s="20" t="str">
        <f>IF(I283="", "", COUNT($I$12:$I283))</f>
        <v/>
      </c>
      <c r="K283" s="28" t="s">
        <v>301</v>
      </c>
    </row>
    <row r="284" spans="3:11" ht="13.5" customHeight="1" x14ac:dyDescent="0.4">
      <c r="C284" s="26">
        <v>1</v>
      </c>
      <c r="D284" s="26" t="s">
        <v>26</v>
      </c>
      <c r="E284" s="26">
        <v>273</v>
      </c>
      <c r="F284" s="26">
        <v>1040</v>
      </c>
      <c r="G284" s="22">
        <f t="shared" si="14"/>
        <v>249422</v>
      </c>
      <c r="H284" s="18" t="str">
        <f t="shared" si="12"/>
        <v/>
      </c>
      <c r="I284" s="22" t="str">
        <f t="shared" si="13"/>
        <v/>
      </c>
      <c r="J284" s="20" t="str">
        <f>IF(I284="", "", COUNT($I$12:$I284))</f>
        <v/>
      </c>
      <c r="K284" s="28" t="s">
        <v>302</v>
      </c>
    </row>
    <row r="285" spans="3:11" ht="13.5" customHeight="1" x14ac:dyDescent="0.4">
      <c r="C285" s="26">
        <v>1</v>
      </c>
      <c r="D285" s="26" t="s">
        <v>26</v>
      </c>
      <c r="E285" s="26">
        <v>274</v>
      </c>
      <c r="F285" s="26">
        <v>961</v>
      </c>
      <c r="G285" s="22">
        <f t="shared" si="14"/>
        <v>250383</v>
      </c>
      <c r="H285" s="18" t="str">
        <f t="shared" si="12"/>
        <v/>
      </c>
      <c r="I285" s="22" t="str">
        <f t="shared" si="13"/>
        <v/>
      </c>
      <c r="J285" s="20" t="str">
        <f>IF(I285="", "", COUNT($I$12:$I285))</f>
        <v/>
      </c>
      <c r="K285" s="28" t="s">
        <v>303</v>
      </c>
    </row>
    <row r="286" spans="3:11" ht="13.5" customHeight="1" x14ac:dyDescent="0.4">
      <c r="C286" s="26">
        <v>1</v>
      </c>
      <c r="D286" s="26" t="s">
        <v>26</v>
      </c>
      <c r="E286" s="26">
        <v>275</v>
      </c>
      <c r="F286" s="26">
        <v>722</v>
      </c>
      <c r="G286" s="22">
        <f t="shared" si="14"/>
        <v>251105</v>
      </c>
      <c r="H286" s="18" t="str">
        <f t="shared" si="12"/>
        <v/>
      </c>
      <c r="I286" s="22" t="str">
        <f t="shared" si="13"/>
        <v/>
      </c>
      <c r="J286" s="20" t="str">
        <f>IF(I286="", "", COUNT($I$12:$I286))</f>
        <v/>
      </c>
      <c r="K286" s="28" t="s">
        <v>304</v>
      </c>
    </row>
    <row r="287" spans="3:11" ht="13.5" customHeight="1" x14ac:dyDescent="0.4">
      <c r="C287" s="26">
        <v>1</v>
      </c>
      <c r="D287" s="26" t="s">
        <v>26</v>
      </c>
      <c r="E287" s="26">
        <v>276</v>
      </c>
      <c r="F287" s="26">
        <v>1121</v>
      </c>
      <c r="G287" s="22">
        <f t="shared" si="14"/>
        <v>252226</v>
      </c>
      <c r="H287" s="18" t="str">
        <f t="shared" si="12"/>
        <v/>
      </c>
      <c r="I287" s="22" t="str">
        <f t="shared" si="13"/>
        <v/>
      </c>
      <c r="J287" s="20" t="str">
        <f>IF(I287="", "", COUNT($I$12:$I287))</f>
        <v/>
      </c>
      <c r="K287" s="28" t="s">
        <v>305</v>
      </c>
    </row>
    <row r="288" spans="3:11" ht="13.5" customHeight="1" x14ac:dyDescent="0.4">
      <c r="C288" s="26">
        <v>1</v>
      </c>
      <c r="D288" s="26" t="s">
        <v>26</v>
      </c>
      <c r="E288" s="26">
        <v>277</v>
      </c>
      <c r="F288" s="26">
        <v>821</v>
      </c>
      <c r="G288" s="22">
        <f t="shared" si="14"/>
        <v>253047</v>
      </c>
      <c r="H288" s="18" t="str">
        <f t="shared" si="12"/>
        <v/>
      </c>
      <c r="I288" s="22" t="str">
        <f t="shared" si="13"/>
        <v/>
      </c>
      <c r="J288" s="20" t="str">
        <f>IF(I288="", "", COUNT($I$12:$I288))</f>
        <v/>
      </c>
      <c r="K288" s="28" t="s">
        <v>306</v>
      </c>
    </row>
    <row r="289" spans="3:11" ht="13.5" customHeight="1" x14ac:dyDescent="0.4">
      <c r="C289" s="26">
        <v>1</v>
      </c>
      <c r="D289" s="26" t="s">
        <v>26</v>
      </c>
      <c r="E289" s="26">
        <v>278</v>
      </c>
      <c r="F289" s="26">
        <v>732</v>
      </c>
      <c r="G289" s="22">
        <f t="shared" si="14"/>
        <v>253779</v>
      </c>
      <c r="H289" s="18" t="str">
        <f t="shared" si="12"/>
        <v/>
      </c>
      <c r="I289" s="22" t="str">
        <f t="shared" si="13"/>
        <v/>
      </c>
      <c r="J289" s="20" t="str">
        <f>IF(I289="", "", COUNT($I$12:$I289))</f>
        <v/>
      </c>
      <c r="K289" s="28" t="s">
        <v>307</v>
      </c>
    </row>
    <row r="290" spans="3:11" ht="13.5" customHeight="1" x14ac:dyDescent="0.4">
      <c r="C290" s="26">
        <v>1</v>
      </c>
      <c r="D290" s="26" t="s">
        <v>26</v>
      </c>
      <c r="E290" s="26">
        <v>279</v>
      </c>
      <c r="F290" s="26">
        <v>1228</v>
      </c>
      <c r="G290" s="22">
        <f t="shared" si="14"/>
        <v>255007</v>
      </c>
      <c r="H290" s="18" t="str">
        <f t="shared" si="12"/>
        <v/>
      </c>
      <c r="I290" s="22" t="str">
        <f t="shared" si="13"/>
        <v/>
      </c>
      <c r="J290" s="20" t="str">
        <f>IF(I290="", "", COUNT($I$12:$I290))</f>
        <v/>
      </c>
      <c r="K290" s="28" t="s">
        <v>308</v>
      </c>
    </row>
    <row r="291" spans="3:11" ht="13.5" customHeight="1" x14ac:dyDescent="0.4">
      <c r="C291" s="26">
        <v>1</v>
      </c>
      <c r="D291" s="26" t="s">
        <v>26</v>
      </c>
      <c r="E291" s="26">
        <v>280</v>
      </c>
      <c r="F291" s="26">
        <v>540</v>
      </c>
      <c r="G291" s="22">
        <f t="shared" si="14"/>
        <v>255547</v>
      </c>
      <c r="H291" s="18" t="str">
        <f t="shared" si="12"/>
        <v/>
      </c>
      <c r="I291" s="22" t="str">
        <f t="shared" si="13"/>
        <v/>
      </c>
      <c r="J291" s="20" t="str">
        <f>IF(I291="", "", COUNT($I$12:$I291))</f>
        <v/>
      </c>
      <c r="K291" s="28" t="s">
        <v>309</v>
      </c>
    </row>
    <row r="292" spans="3:11" ht="13.5" customHeight="1" x14ac:dyDescent="0.4">
      <c r="C292" s="26">
        <v>1</v>
      </c>
      <c r="D292" s="26" t="s">
        <v>26</v>
      </c>
      <c r="E292" s="26">
        <v>281</v>
      </c>
      <c r="F292" s="26">
        <v>798</v>
      </c>
      <c r="G292" s="22">
        <f t="shared" si="14"/>
        <v>256345</v>
      </c>
      <c r="H292" s="18" t="str">
        <f t="shared" si="12"/>
        <v/>
      </c>
      <c r="I292" s="22" t="str">
        <f t="shared" si="13"/>
        <v/>
      </c>
      <c r="J292" s="20" t="str">
        <f>IF(I292="", "", COUNT($I$12:$I292))</f>
        <v/>
      </c>
      <c r="K292" s="28" t="s">
        <v>310</v>
      </c>
    </row>
    <row r="293" spans="3:11" ht="13.5" customHeight="1" x14ac:dyDescent="0.4">
      <c r="C293" s="26">
        <v>1</v>
      </c>
      <c r="D293" s="26" t="s">
        <v>26</v>
      </c>
      <c r="E293" s="26">
        <v>282</v>
      </c>
      <c r="F293" s="26">
        <v>622</v>
      </c>
      <c r="G293" s="22">
        <f t="shared" si="14"/>
        <v>256967</v>
      </c>
      <c r="H293" s="18">
        <f t="shared" si="12"/>
        <v>256436.96774193546</v>
      </c>
      <c r="I293" s="22">
        <f t="shared" si="13"/>
        <v>91.967741935455706</v>
      </c>
      <c r="J293" s="20">
        <f>IF(I293="", "", COUNT($I$12:$I293))</f>
        <v>27</v>
      </c>
      <c r="K293" s="28" t="s">
        <v>311</v>
      </c>
    </row>
    <row r="294" spans="3:11" ht="13.5" customHeight="1" x14ac:dyDescent="0.4">
      <c r="C294" s="26">
        <v>1</v>
      </c>
      <c r="D294" s="26" t="s">
        <v>26</v>
      </c>
      <c r="E294" s="26">
        <v>283</v>
      </c>
      <c r="F294" s="26">
        <v>765</v>
      </c>
      <c r="G294" s="22">
        <f t="shared" si="14"/>
        <v>257732</v>
      </c>
      <c r="H294" s="18" t="str">
        <f t="shared" si="12"/>
        <v/>
      </c>
      <c r="I294" s="22" t="str">
        <f t="shared" si="13"/>
        <v/>
      </c>
      <c r="J294" s="20" t="str">
        <f>IF(I294="", "", COUNT($I$12:$I294))</f>
        <v/>
      </c>
      <c r="K294" s="28" t="s">
        <v>312</v>
      </c>
    </row>
    <row r="295" spans="3:11" ht="13.5" customHeight="1" x14ac:dyDescent="0.4">
      <c r="C295" s="26">
        <v>1</v>
      </c>
      <c r="D295" s="26" t="s">
        <v>26</v>
      </c>
      <c r="E295" s="26">
        <v>284</v>
      </c>
      <c r="F295" s="26">
        <v>656</v>
      </c>
      <c r="G295" s="22">
        <f t="shared" si="14"/>
        <v>258388</v>
      </c>
      <c r="H295" s="18" t="str">
        <f t="shared" si="12"/>
        <v/>
      </c>
      <c r="I295" s="22" t="str">
        <f t="shared" si="13"/>
        <v/>
      </c>
      <c r="J295" s="20" t="str">
        <f>IF(I295="", "", COUNT($I$12:$I295))</f>
        <v/>
      </c>
      <c r="K295" s="28" t="s">
        <v>313</v>
      </c>
    </row>
    <row r="296" spans="3:11" ht="13.5" customHeight="1" x14ac:dyDescent="0.4">
      <c r="C296" s="26">
        <v>1</v>
      </c>
      <c r="D296" s="26" t="s">
        <v>26</v>
      </c>
      <c r="E296" s="26">
        <v>285</v>
      </c>
      <c r="F296" s="26">
        <v>848</v>
      </c>
      <c r="G296" s="22">
        <f t="shared" si="14"/>
        <v>259236</v>
      </c>
      <c r="H296" s="18" t="str">
        <f t="shared" si="12"/>
        <v/>
      </c>
      <c r="I296" s="22" t="str">
        <f t="shared" si="13"/>
        <v/>
      </c>
      <c r="J296" s="20" t="str">
        <f>IF(I296="", "", COUNT($I$12:$I296))</f>
        <v/>
      </c>
      <c r="K296" s="28" t="s">
        <v>314</v>
      </c>
    </row>
    <row r="297" spans="3:11" ht="13.5" customHeight="1" x14ac:dyDescent="0.4">
      <c r="C297" s="26">
        <v>1</v>
      </c>
      <c r="D297" s="26" t="s">
        <v>26</v>
      </c>
      <c r="E297" s="26">
        <v>286</v>
      </c>
      <c r="F297" s="26">
        <v>830</v>
      </c>
      <c r="G297" s="22">
        <f t="shared" si="14"/>
        <v>260066</v>
      </c>
      <c r="H297" s="18" t="str">
        <f t="shared" si="12"/>
        <v/>
      </c>
      <c r="I297" s="22" t="str">
        <f t="shared" si="13"/>
        <v/>
      </c>
      <c r="J297" s="20" t="str">
        <f>IF(I297="", "", COUNT($I$12:$I297))</f>
        <v/>
      </c>
      <c r="K297" s="28" t="s">
        <v>315</v>
      </c>
    </row>
    <row r="298" spans="3:11" ht="13.5" customHeight="1" x14ac:dyDescent="0.4">
      <c r="C298" s="26">
        <v>1</v>
      </c>
      <c r="D298" s="26" t="s">
        <v>26</v>
      </c>
      <c r="E298" s="26">
        <v>287</v>
      </c>
      <c r="F298" s="26">
        <v>893</v>
      </c>
      <c r="G298" s="22">
        <f t="shared" si="14"/>
        <v>260959</v>
      </c>
      <c r="H298" s="18" t="str">
        <f t="shared" si="12"/>
        <v/>
      </c>
      <c r="I298" s="22" t="str">
        <f t="shared" si="13"/>
        <v/>
      </c>
      <c r="J298" s="20" t="str">
        <f>IF(I298="", "", COUNT($I$12:$I298))</f>
        <v/>
      </c>
      <c r="K298" s="28" t="s">
        <v>316</v>
      </c>
    </row>
    <row r="299" spans="3:11" ht="13.5" customHeight="1" x14ac:dyDescent="0.4">
      <c r="C299" s="26">
        <v>1</v>
      </c>
      <c r="D299" s="26" t="s">
        <v>26</v>
      </c>
      <c r="E299" s="26">
        <v>288</v>
      </c>
      <c r="F299" s="26">
        <v>1259</v>
      </c>
      <c r="G299" s="22">
        <f t="shared" si="14"/>
        <v>262218</v>
      </c>
      <c r="H299" s="18" t="str">
        <f t="shared" si="12"/>
        <v/>
      </c>
      <c r="I299" s="22" t="str">
        <f t="shared" si="13"/>
        <v/>
      </c>
      <c r="J299" s="20" t="str">
        <f>IF(I299="", "", COUNT($I$12:$I299))</f>
        <v/>
      </c>
      <c r="K299" s="28" t="s">
        <v>317</v>
      </c>
    </row>
    <row r="300" spans="3:11" ht="13.5" customHeight="1" x14ac:dyDescent="0.4">
      <c r="C300" s="26">
        <v>1</v>
      </c>
      <c r="D300" s="26" t="s">
        <v>26</v>
      </c>
      <c r="E300" s="26">
        <v>289</v>
      </c>
      <c r="F300" s="26">
        <v>832</v>
      </c>
      <c r="G300" s="22">
        <f t="shared" si="14"/>
        <v>263050</v>
      </c>
      <c r="H300" s="18" t="str">
        <f t="shared" si="12"/>
        <v/>
      </c>
      <c r="I300" s="22" t="str">
        <f t="shared" si="13"/>
        <v/>
      </c>
      <c r="J300" s="20" t="str">
        <f>IF(I300="", "", COUNT($I$12:$I300))</f>
        <v/>
      </c>
      <c r="K300" s="28" t="s">
        <v>318</v>
      </c>
    </row>
    <row r="301" spans="3:11" ht="13.5" customHeight="1" x14ac:dyDescent="0.4">
      <c r="C301" s="26">
        <v>1</v>
      </c>
      <c r="D301" s="26" t="s">
        <v>26</v>
      </c>
      <c r="E301" s="26">
        <v>290</v>
      </c>
      <c r="F301" s="26">
        <v>1055</v>
      </c>
      <c r="G301" s="22">
        <f t="shared" si="14"/>
        <v>264105</v>
      </c>
      <c r="H301" s="18" t="str">
        <f t="shared" si="12"/>
        <v/>
      </c>
      <c r="I301" s="22" t="str">
        <f t="shared" si="13"/>
        <v/>
      </c>
      <c r="J301" s="20" t="str">
        <f>IF(I301="", "", COUNT($I$12:$I301))</f>
        <v/>
      </c>
      <c r="K301" s="28" t="s">
        <v>319</v>
      </c>
    </row>
    <row r="302" spans="3:11" ht="13.5" customHeight="1" x14ac:dyDescent="0.4">
      <c r="C302" s="26">
        <v>1</v>
      </c>
      <c r="D302" s="26" t="s">
        <v>26</v>
      </c>
      <c r="E302" s="26">
        <v>291</v>
      </c>
      <c r="F302" s="26">
        <v>707</v>
      </c>
      <c r="G302" s="22">
        <f t="shared" si="14"/>
        <v>264812</v>
      </c>
      <c r="H302" s="18" t="str">
        <f t="shared" si="12"/>
        <v/>
      </c>
      <c r="I302" s="22" t="str">
        <f t="shared" si="13"/>
        <v/>
      </c>
      <c r="J302" s="20" t="str">
        <f>IF(I302="", "", COUNT($I$12:$I302))</f>
        <v/>
      </c>
      <c r="K302" s="28" t="s">
        <v>320</v>
      </c>
    </row>
    <row r="303" spans="3:11" ht="13.5" customHeight="1" x14ac:dyDescent="0.4">
      <c r="C303" s="26">
        <v>1</v>
      </c>
      <c r="D303" s="26" t="s">
        <v>26</v>
      </c>
      <c r="E303" s="26">
        <v>292</v>
      </c>
      <c r="F303" s="26">
        <v>699</v>
      </c>
      <c r="G303" s="22">
        <f t="shared" si="14"/>
        <v>265511</v>
      </c>
      <c r="H303" s="18" t="str">
        <f t="shared" si="12"/>
        <v/>
      </c>
      <c r="I303" s="22" t="str">
        <f t="shared" si="13"/>
        <v/>
      </c>
      <c r="J303" s="20" t="str">
        <f>IF(I303="", "", COUNT($I$12:$I303))</f>
        <v/>
      </c>
      <c r="K303" s="28" t="s">
        <v>321</v>
      </c>
    </row>
    <row r="304" spans="3:11" ht="13.5" customHeight="1" x14ac:dyDescent="0.4">
      <c r="C304" s="26">
        <v>1</v>
      </c>
      <c r="D304" s="26" t="s">
        <v>26</v>
      </c>
      <c r="E304" s="26">
        <v>293</v>
      </c>
      <c r="F304" s="26">
        <v>699</v>
      </c>
      <c r="G304" s="22">
        <f t="shared" si="14"/>
        <v>266210</v>
      </c>
      <c r="H304" s="18">
        <f t="shared" si="12"/>
        <v>265933.89247311826</v>
      </c>
      <c r="I304" s="22">
        <f t="shared" si="13"/>
        <v>422.8924731182633</v>
      </c>
      <c r="J304" s="20">
        <f>IF(I304="", "", COUNT($I$12:$I304))</f>
        <v>28</v>
      </c>
      <c r="K304" s="28" t="s">
        <v>322</v>
      </c>
    </row>
    <row r="305" spans="3:11" ht="13.5" customHeight="1" x14ac:dyDescent="0.4">
      <c r="C305" s="26">
        <v>1</v>
      </c>
      <c r="D305" s="26" t="s">
        <v>26</v>
      </c>
      <c r="E305" s="26">
        <v>294</v>
      </c>
      <c r="F305" s="26">
        <v>1060</v>
      </c>
      <c r="G305" s="22">
        <f t="shared" si="14"/>
        <v>267270</v>
      </c>
      <c r="H305" s="18" t="str">
        <f t="shared" si="12"/>
        <v/>
      </c>
      <c r="I305" s="22" t="str">
        <f t="shared" si="13"/>
        <v/>
      </c>
      <c r="J305" s="20" t="str">
        <f>IF(I305="", "", COUNT($I$12:$I305))</f>
        <v/>
      </c>
      <c r="K305" s="28" t="s">
        <v>323</v>
      </c>
    </row>
    <row r="306" spans="3:11" ht="13.5" customHeight="1" x14ac:dyDescent="0.4">
      <c r="C306" s="26">
        <v>1</v>
      </c>
      <c r="D306" s="26" t="s">
        <v>26</v>
      </c>
      <c r="E306" s="26">
        <v>295</v>
      </c>
      <c r="F306" s="26">
        <v>1303</v>
      </c>
      <c r="G306" s="22">
        <f t="shared" si="14"/>
        <v>268573</v>
      </c>
      <c r="H306" s="18" t="str">
        <f t="shared" si="12"/>
        <v/>
      </c>
      <c r="I306" s="22" t="str">
        <f t="shared" si="13"/>
        <v/>
      </c>
      <c r="J306" s="20" t="str">
        <f>IF(I306="", "", COUNT($I$12:$I306))</f>
        <v/>
      </c>
      <c r="K306" s="28" t="s">
        <v>324</v>
      </c>
    </row>
    <row r="307" spans="3:11" ht="13.5" customHeight="1" x14ac:dyDescent="0.4">
      <c r="C307" s="26">
        <v>2</v>
      </c>
      <c r="D307" s="26" t="s">
        <v>24</v>
      </c>
      <c r="E307" s="26">
        <v>1</v>
      </c>
      <c r="F307" s="26">
        <v>951</v>
      </c>
      <c r="G307" s="22">
        <f t="shared" si="14"/>
        <v>269524</v>
      </c>
      <c r="H307" s="18" t="str">
        <f t="shared" si="12"/>
        <v/>
      </c>
      <c r="I307" s="22" t="str">
        <f t="shared" si="13"/>
        <v/>
      </c>
      <c r="J307" s="20" t="str">
        <f>IF(I307="", "", COUNT($I$12:$I307))</f>
        <v/>
      </c>
      <c r="K307" s="28" t="s">
        <v>325</v>
      </c>
    </row>
    <row r="308" spans="3:11" ht="13.5" customHeight="1" x14ac:dyDescent="0.4">
      <c r="C308" s="26">
        <v>2</v>
      </c>
      <c r="D308" s="26" t="s">
        <v>24</v>
      </c>
      <c r="E308" s="26">
        <v>2</v>
      </c>
      <c r="F308" s="26">
        <v>1134</v>
      </c>
      <c r="G308" s="22">
        <f t="shared" si="14"/>
        <v>270658</v>
      </c>
      <c r="H308" s="18" t="str">
        <f t="shared" si="12"/>
        <v/>
      </c>
      <c r="I308" s="22" t="str">
        <f t="shared" si="13"/>
        <v/>
      </c>
      <c r="J308" s="20" t="str">
        <f>IF(I308="", "", COUNT($I$12:$I308))</f>
        <v/>
      </c>
      <c r="K308" s="28" t="s">
        <v>326</v>
      </c>
    </row>
    <row r="309" spans="3:11" ht="13.5" customHeight="1" x14ac:dyDescent="0.4">
      <c r="C309" s="26">
        <v>2</v>
      </c>
      <c r="D309" s="26" t="s">
        <v>24</v>
      </c>
      <c r="E309" s="26">
        <v>3</v>
      </c>
      <c r="F309" s="26">
        <v>1052</v>
      </c>
      <c r="G309" s="22">
        <f t="shared" si="14"/>
        <v>271710</v>
      </c>
      <c r="H309" s="18" t="str">
        <f t="shared" si="12"/>
        <v/>
      </c>
      <c r="I309" s="22" t="str">
        <f t="shared" si="13"/>
        <v/>
      </c>
      <c r="J309" s="20" t="str">
        <f>IF(I309="", "", COUNT($I$12:$I309))</f>
        <v/>
      </c>
      <c r="K309" s="28" t="s">
        <v>327</v>
      </c>
    </row>
    <row r="310" spans="3:11" ht="13.5" customHeight="1" x14ac:dyDescent="0.4">
      <c r="C310" s="26">
        <v>2</v>
      </c>
      <c r="D310" s="26" t="s">
        <v>24</v>
      </c>
      <c r="E310" s="26">
        <v>4</v>
      </c>
      <c r="F310" s="26">
        <v>1306</v>
      </c>
      <c r="G310" s="22">
        <f t="shared" si="14"/>
        <v>273016</v>
      </c>
      <c r="H310" s="18" t="str">
        <f t="shared" si="12"/>
        <v/>
      </c>
      <c r="I310" s="22" t="str">
        <f t="shared" si="13"/>
        <v/>
      </c>
      <c r="J310" s="20" t="str">
        <f>IF(I310="", "", COUNT($I$12:$I310))</f>
        <v/>
      </c>
      <c r="K310" s="28" t="s">
        <v>328</v>
      </c>
    </row>
    <row r="311" spans="3:11" ht="13.5" customHeight="1" x14ac:dyDescent="0.4">
      <c r="C311" s="26">
        <v>2</v>
      </c>
      <c r="D311" s="26" t="s">
        <v>24</v>
      </c>
      <c r="E311" s="26">
        <v>5</v>
      </c>
      <c r="F311" s="26">
        <v>1400</v>
      </c>
      <c r="G311" s="22">
        <f t="shared" si="14"/>
        <v>274416</v>
      </c>
      <c r="H311" s="18" t="str">
        <f t="shared" si="12"/>
        <v/>
      </c>
      <c r="I311" s="22" t="str">
        <f t="shared" si="13"/>
        <v/>
      </c>
      <c r="J311" s="20" t="str">
        <f>IF(I311="", "", COUNT($I$12:$I311))</f>
        <v/>
      </c>
      <c r="K311" s="28" t="s">
        <v>329</v>
      </c>
    </row>
    <row r="312" spans="3:11" ht="13.5" customHeight="1" x14ac:dyDescent="0.4">
      <c r="C312" s="26">
        <v>2</v>
      </c>
      <c r="D312" s="26" t="s">
        <v>24</v>
      </c>
      <c r="E312" s="26">
        <v>6</v>
      </c>
      <c r="F312" s="26">
        <v>1373</v>
      </c>
      <c r="G312" s="22">
        <f t="shared" si="14"/>
        <v>275789</v>
      </c>
      <c r="H312" s="18">
        <f t="shared" si="12"/>
        <v>275430.81720430107</v>
      </c>
      <c r="I312" s="22">
        <f t="shared" si="13"/>
        <v>1014.8172043010709</v>
      </c>
      <c r="J312" s="20">
        <f>IF(I312="", "", COUNT($I$12:$I312))</f>
        <v>29</v>
      </c>
      <c r="K312" s="28" t="s">
        <v>330</v>
      </c>
    </row>
    <row r="313" spans="3:11" ht="13.5" customHeight="1" x14ac:dyDescent="0.4">
      <c r="C313" s="26">
        <v>2</v>
      </c>
      <c r="D313" s="26" t="s">
        <v>24</v>
      </c>
      <c r="E313" s="26">
        <v>7</v>
      </c>
      <c r="F313" s="26">
        <v>1317</v>
      </c>
      <c r="G313" s="22">
        <f t="shared" si="14"/>
        <v>277106</v>
      </c>
      <c r="H313" s="18" t="str">
        <f t="shared" si="12"/>
        <v/>
      </c>
      <c r="I313" s="22" t="str">
        <f t="shared" si="13"/>
        <v/>
      </c>
      <c r="J313" s="20" t="str">
        <f>IF(I313="", "", COUNT($I$12:$I313))</f>
        <v/>
      </c>
      <c r="K313" s="28" t="s">
        <v>331</v>
      </c>
    </row>
    <row r="314" spans="3:11" ht="13.5" customHeight="1" x14ac:dyDescent="0.4">
      <c r="C314" s="26">
        <v>2</v>
      </c>
      <c r="D314" s="26" t="s">
        <v>24</v>
      </c>
      <c r="E314" s="26">
        <v>8</v>
      </c>
      <c r="F314" s="26">
        <v>1240</v>
      </c>
      <c r="G314" s="22">
        <f t="shared" si="14"/>
        <v>278346</v>
      </c>
      <c r="H314" s="18" t="str">
        <f t="shared" si="12"/>
        <v/>
      </c>
      <c r="I314" s="22" t="str">
        <f t="shared" si="13"/>
        <v/>
      </c>
      <c r="J314" s="20" t="str">
        <f>IF(I314="", "", COUNT($I$12:$I314))</f>
        <v/>
      </c>
      <c r="K314" s="28" t="s">
        <v>332</v>
      </c>
    </row>
    <row r="315" spans="3:11" ht="13.5" customHeight="1" x14ac:dyDescent="0.4">
      <c r="C315" s="26">
        <v>2</v>
      </c>
      <c r="D315" s="26" t="s">
        <v>24</v>
      </c>
      <c r="E315" s="26">
        <v>9</v>
      </c>
      <c r="F315" s="26">
        <v>1236</v>
      </c>
      <c r="G315" s="22">
        <f t="shared" si="14"/>
        <v>279582</v>
      </c>
      <c r="H315" s="18" t="str">
        <f t="shared" si="12"/>
        <v/>
      </c>
      <c r="I315" s="22" t="str">
        <f t="shared" si="13"/>
        <v/>
      </c>
      <c r="J315" s="20" t="str">
        <f>IF(I315="", "", COUNT($I$12:$I315))</f>
        <v/>
      </c>
      <c r="K315" s="28" t="s">
        <v>333</v>
      </c>
    </row>
    <row r="316" spans="3:11" ht="13.5" customHeight="1" x14ac:dyDescent="0.4">
      <c r="C316" s="26">
        <v>2</v>
      </c>
      <c r="D316" s="26" t="s">
        <v>24</v>
      </c>
      <c r="E316" s="26">
        <v>10</v>
      </c>
      <c r="F316" s="26">
        <v>1485</v>
      </c>
      <c r="G316" s="22">
        <f t="shared" si="14"/>
        <v>281067</v>
      </c>
      <c r="H316" s="18" t="str">
        <f t="shared" si="12"/>
        <v/>
      </c>
      <c r="I316" s="22" t="str">
        <f t="shared" si="13"/>
        <v/>
      </c>
      <c r="J316" s="20" t="str">
        <f>IF(I316="", "", COUNT($I$12:$I316))</f>
        <v/>
      </c>
      <c r="K316" s="28" t="s">
        <v>334</v>
      </c>
    </row>
    <row r="317" spans="3:11" ht="13.5" customHeight="1" x14ac:dyDescent="0.4">
      <c r="C317" s="26">
        <v>2</v>
      </c>
      <c r="D317" s="26" t="s">
        <v>24</v>
      </c>
      <c r="E317" s="26">
        <v>11</v>
      </c>
      <c r="F317" s="26">
        <v>1532</v>
      </c>
      <c r="G317" s="22">
        <f t="shared" si="14"/>
        <v>282599</v>
      </c>
      <c r="H317" s="18" t="str">
        <f t="shared" si="12"/>
        <v/>
      </c>
      <c r="I317" s="22" t="str">
        <f t="shared" si="13"/>
        <v/>
      </c>
      <c r="J317" s="20" t="str">
        <f>IF(I317="", "", COUNT($I$12:$I317))</f>
        <v/>
      </c>
      <c r="K317" s="28" t="s">
        <v>335</v>
      </c>
    </row>
    <row r="318" spans="3:11" ht="13.5" customHeight="1" x14ac:dyDescent="0.4">
      <c r="C318" s="26">
        <v>2</v>
      </c>
      <c r="D318" s="26" t="s">
        <v>24</v>
      </c>
      <c r="E318" s="26">
        <v>12</v>
      </c>
      <c r="F318" s="26">
        <v>1193</v>
      </c>
      <c r="G318" s="22">
        <f t="shared" si="14"/>
        <v>283792</v>
      </c>
      <c r="H318" s="18" t="str">
        <f t="shared" si="12"/>
        <v/>
      </c>
      <c r="I318" s="22" t="str">
        <f t="shared" si="13"/>
        <v/>
      </c>
      <c r="J318" s="20" t="str">
        <f>IF(I318="", "", COUNT($I$12:$I318))</f>
        <v/>
      </c>
      <c r="K318" s="28" t="s">
        <v>336</v>
      </c>
    </row>
    <row r="319" spans="3:11" ht="13.5" customHeight="1" x14ac:dyDescent="0.4">
      <c r="C319" s="26">
        <v>2</v>
      </c>
      <c r="D319" s="26" t="s">
        <v>24</v>
      </c>
      <c r="E319" s="26">
        <v>13</v>
      </c>
      <c r="F319" s="26">
        <v>1174</v>
      </c>
      <c r="G319" s="22">
        <f t="shared" si="14"/>
        <v>284966</v>
      </c>
      <c r="H319" s="18">
        <f t="shared" si="12"/>
        <v>284927.74193548382</v>
      </c>
      <c r="I319" s="22">
        <f t="shared" si="13"/>
        <v>1135.7419354838203</v>
      </c>
      <c r="J319" s="20">
        <f>IF(I319="", "", COUNT($I$12:$I319))</f>
        <v>30</v>
      </c>
      <c r="K319" s="28" t="s">
        <v>337</v>
      </c>
    </row>
    <row r="320" spans="3:11" ht="13.5" customHeight="1" x14ac:dyDescent="0.4">
      <c r="C320" s="26">
        <v>2</v>
      </c>
      <c r="D320" s="26" t="s">
        <v>24</v>
      </c>
      <c r="E320" s="26">
        <v>14</v>
      </c>
      <c r="F320" s="26">
        <v>1222</v>
      </c>
      <c r="G320" s="22">
        <f t="shared" si="14"/>
        <v>286188</v>
      </c>
      <c r="H320" s="18" t="str">
        <f t="shared" si="12"/>
        <v/>
      </c>
      <c r="I320" s="22" t="str">
        <f t="shared" si="13"/>
        <v/>
      </c>
      <c r="J320" s="20" t="str">
        <f>IF(I320="", "", COUNT($I$12:$I320))</f>
        <v/>
      </c>
      <c r="K320" s="28" t="s">
        <v>338</v>
      </c>
    </row>
    <row r="321" spans="3:11" ht="13.5" customHeight="1" x14ac:dyDescent="0.4">
      <c r="C321" s="26">
        <v>2</v>
      </c>
      <c r="D321" s="26" t="s">
        <v>24</v>
      </c>
      <c r="E321" s="26">
        <v>15</v>
      </c>
      <c r="F321" s="26">
        <v>1135</v>
      </c>
      <c r="G321" s="22">
        <f t="shared" si="14"/>
        <v>287323</v>
      </c>
      <c r="H321" s="18" t="str">
        <f t="shared" si="12"/>
        <v/>
      </c>
      <c r="I321" s="22" t="str">
        <f t="shared" si="13"/>
        <v/>
      </c>
      <c r="J321" s="20" t="str">
        <f>IF(I321="", "", COUNT($I$12:$I321))</f>
        <v/>
      </c>
      <c r="K321" s="28" t="s">
        <v>339</v>
      </c>
    </row>
    <row r="322" spans="3:11" ht="13.5" customHeight="1" x14ac:dyDescent="0.4">
      <c r="C322" s="26">
        <v>2</v>
      </c>
      <c r="D322" s="26" t="s">
        <v>24</v>
      </c>
      <c r="E322" s="26">
        <v>16</v>
      </c>
      <c r="F322" s="26">
        <v>843</v>
      </c>
      <c r="G322" s="22">
        <f t="shared" si="14"/>
        <v>288166</v>
      </c>
      <c r="H322" s="18" t="str">
        <f t="shared" si="12"/>
        <v/>
      </c>
      <c r="I322" s="22" t="str">
        <f t="shared" si="13"/>
        <v/>
      </c>
      <c r="J322" s="20" t="str">
        <f>IF(I322="", "", COUNT($I$12:$I322))</f>
        <v/>
      </c>
      <c r="K322" s="28" t="s">
        <v>340</v>
      </c>
    </row>
    <row r="323" spans="3:11" ht="13.5" customHeight="1" x14ac:dyDescent="0.4">
      <c r="C323" s="26">
        <v>2</v>
      </c>
      <c r="D323" s="26" t="s">
        <v>24</v>
      </c>
      <c r="E323" s="26">
        <v>17</v>
      </c>
      <c r="F323" s="26">
        <v>1496</v>
      </c>
      <c r="G323" s="22">
        <f t="shared" si="14"/>
        <v>289662</v>
      </c>
      <c r="H323" s="18" t="str">
        <f t="shared" si="12"/>
        <v/>
      </c>
      <c r="I323" s="22" t="str">
        <f t="shared" si="13"/>
        <v/>
      </c>
      <c r="J323" s="20" t="str">
        <f>IF(I323="", "", COUNT($I$12:$I323))</f>
        <v/>
      </c>
      <c r="K323" s="28" t="s">
        <v>341</v>
      </c>
    </row>
    <row r="324" spans="3:11" ht="13.5" customHeight="1" x14ac:dyDescent="0.4">
      <c r="C324" s="26">
        <v>2</v>
      </c>
      <c r="D324" s="26" t="s">
        <v>24</v>
      </c>
      <c r="E324" s="26">
        <v>18</v>
      </c>
      <c r="F324" s="26">
        <v>1397</v>
      </c>
      <c r="G324" s="22">
        <f t="shared" si="14"/>
        <v>291059</v>
      </c>
      <c r="H324" s="18" t="str">
        <f t="shared" si="12"/>
        <v/>
      </c>
      <c r="I324" s="22" t="str">
        <f t="shared" si="13"/>
        <v/>
      </c>
      <c r="J324" s="20" t="str">
        <f>IF(I324="", "", COUNT($I$12:$I324))</f>
        <v/>
      </c>
      <c r="K324" s="28" t="s">
        <v>342</v>
      </c>
    </row>
    <row r="325" spans="3:11" ht="13.5" customHeight="1" x14ac:dyDescent="0.4">
      <c r="C325" s="26">
        <v>2</v>
      </c>
      <c r="D325" s="26" t="s">
        <v>24</v>
      </c>
      <c r="E325" s="26">
        <v>19</v>
      </c>
      <c r="F325" s="26">
        <v>1271</v>
      </c>
      <c r="G325" s="22">
        <f t="shared" si="14"/>
        <v>292330</v>
      </c>
      <c r="H325" s="18" t="str">
        <f t="shared" si="12"/>
        <v/>
      </c>
      <c r="I325" s="22" t="str">
        <f t="shared" si="13"/>
        <v/>
      </c>
      <c r="J325" s="20" t="str">
        <f>IF(I325="", "", COUNT($I$12:$I325))</f>
        <v/>
      </c>
      <c r="K325" s="28" t="s">
        <v>343</v>
      </c>
    </row>
    <row r="326" spans="3:11" ht="13.5" customHeight="1" x14ac:dyDescent="0.4">
      <c r="C326" s="26">
        <v>2</v>
      </c>
      <c r="D326" s="26" t="s">
        <v>24</v>
      </c>
      <c r="E326" s="26">
        <v>20</v>
      </c>
      <c r="F326" s="26">
        <v>1378</v>
      </c>
      <c r="G326" s="22">
        <f t="shared" si="14"/>
        <v>293708</v>
      </c>
      <c r="H326" s="18" t="str">
        <f t="shared" si="12"/>
        <v/>
      </c>
      <c r="I326" s="22" t="str">
        <f t="shared" si="13"/>
        <v/>
      </c>
      <c r="J326" s="20" t="str">
        <f>IF(I326="", "", COUNT($I$12:$I326))</f>
        <v/>
      </c>
      <c r="K326" s="28" t="s">
        <v>344</v>
      </c>
    </row>
    <row r="327" spans="3:11" ht="13.5" customHeight="1" x14ac:dyDescent="0.4">
      <c r="C327" s="26">
        <v>2</v>
      </c>
      <c r="D327" s="26" t="s">
        <v>24</v>
      </c>
      <c r="E327" s="26">
        <v>21</v>
      </c>
      <c r="F327" s="26">
        <v>1155</v>
      </c>
      <c r="G327" s="22">
        <f t="shared" si="14"/>
        <v>294863</v>
      </c>
      <c r="H327" s="18">
        <f t="shared" si="12"/>
        <v>294424.66666666663</v>
      </c>
      <c r="I327" s="22">
        <f t="shared" si="13"/>
        <v>716.66666666662786</v>
      </c>
      <c r="J327" s="20">
        <f>IF(I327="", "", COUNT($I$12:$I327))</f>
        <v>31</v>
      </c>
      <c r="K327" s="28" t="s">
        <v>345</v>
      </c>
    </row>
    <row r="328" spans="3:11" ht="13.5" customHeight="1" x14ac:dyDescent="0.4">
      <c r="C328" s="26">
        <v>2</v>
      </c>
      <c r="D328" s="26" t="s">
        <v>24</v>
      </c>
      <c r="E328" s="26">
        <v>22</v>
      </c>
      <c r="F328" s="26">
        <v>1403</v>
      </c>
      <c r="G328" s="22">
        <f t="shared" si="14"/>
        <v>296266</v>
      </c>
      <c r="H328" s="18" t="str">
        <f t="shared" si="12"/>
        <v/>
      </c>
      <c r="I328" s="22" t="str">
        <f t="shared" si="13"/>
        <v/>
      </c>
      <c r="J328" s="20" t="str">
        <f>IF(I328="", "", COUNT($I$12:$I328))</f>
        <v/>
      </c>
      <c r="K328" s="28" t="s">
        <v>346</v>
      </c>
    </row>
    <row r="329" spans="3:11" ht="13.5" customHeight="1" x14ac:dyDescent="0.4">
      <c r="C329" s="26">
        <v>2</v>
      </c>
      <c r="D329" s="26" t="s">
        <v>24</v>
      </c>
      <c r="E329" s="26">
        <v>23</v>
      </c>
      <c r="F329" s="26">
        <v>1282</v>
      </c>
      <c r="G329" s="22">
        <f t="shared" si="14"/>
        <v>297548</v>
      </c>
      <c r="H329" s="18" t="str">
        <f t="shared" si="12"/>
        <v/>
      </c>
      <c r="I329" s="22" t="str">
        <f t="shared" si="13"/>
        <v/>
      </c>
      <c r="J329" s="20" t="str">
        <f>IF(I329="", "", COUNT($I$12:$I329))</f>
        <v/>
      </c>
      <c r="K329" s="28" t="s">
        <v>347</v>
      </c>
    </row>
    <row r="330" spans="3:11" ht="13.5" customHeight="1" x14ac:dyDescent="0.4">
      <c r="C330" s="26">
        <v>2</v>
      </c>
      <c r="D330" s="26" t="s">
        <v>24</v>
      </c>
      <c r="E330" s="26">
        <v>24</v>
      </c>
      <c r="F330" s="26">
        <v>1288</v>
      </c>
      <c r="G330" s="22">
        <f t="shared" si="14"/>
        <v>298836</v>
      </c>
      <c r="H330" s="18" t="str">
        <f t="shared" si="12"/>
        <v/>
      </c>
      <c r="I330" s="22" t="str">
        <f t="shared" si="13"/>
        <v/>
      </c>
      <c r="J330" s="20" t="str">
        <f>IF(I330="", "", COUNT($I$12:$I330))</f>
        <v/>
      </c>
      <c r="K330" s="28" t="s">
        <v>348</v>
      </c>
    </row>
    <row r="331" spans="3:11" ht="13.5" customHeight="1" x14ac:dyDescent="0.4">
      <c r="C331" s="26">
        <v>2</v>
      </c>
      <c r="D331" s="26" t="s">
        <v>24</v>
      </c>
      <c r="E331" s="26">
        <v>25</v>
      </c>
      <c r="F331" s="26">
        <v>1263</v>
      </c>
      <c r="G331" s="22">
        <f t="shared" si="14"/>
        <v>300099</v>
      </c>
      <c r="H331" s="18" t="str">
        <f t="shared" si="12"/>
        <v/>
      </c>
      <c r="I331" s="22" t="str">
        <f t="shared" si="13"/>
        <v/>
      </c>
      <c r="J331" s="20" t="str">
        <f>IF(I331="", "", COUNT($I$12:$I331))</f>
        <v/>
      </c>
      <c r="K331" s="28" t="s">
        <v>349</v>
      </c>
    </row>
    <row r="332" spans="3:11" ht="13.5" customHeight="1" x14ac:dyDescent="0.4">
      <c r="C332" s="26">
        <v>2</v>
      </c>
      <c r="D332" s="26" t="s">
        <v>24</v>
      </c>
      <c r="E332" s="26">
        <v>26</v>
      </c>
      <c r="F332" s="26">
        <v>1365</v>
      </c>
      <c r="G332" s="22">
        <f t="shared" si="14"/>
        <v>301464</v>
      </c>
      <c r="H332" s="18" t="str">
        <f t="shared" ref="H332:H395" si="15">IF(AND(G332 &gt;= ($D$5 + ($C$5 * (INT((G332 - $D$5)/$C$5)))), G331 &lt; ($D$5 + ($C$5 * (INT((G332 - $D$5)/$C$5))))), $D$5 + ($C$5 * INT((G332 - $D$5)/$C$5)), "")</f>
        <v/>
      </c>
      <c r="I332" s="22" t="str">
        <f t="shared" ref="I332:I395" si="16">IFERROR(H332-G331, "")</f>
        <v/>
      </c>
      <c r="J332" s="20" t="str">
        <f>IF(I332="", "", COUNT($I$12:$I332))</f>
        <v/>
      </c>
      <c r="K332" s="28" t="s">
        <v>350</v>
      </c>
    </row>
    <row r="333" spans="3:11" ht="13.5" customHeight="1" x14ac:dyDescent="0.4">
      <c r="C333" s="26">
        <v>2</v>
      </c>
      <c r="D333" s="26" t="s">
        <v>24</v>
      </c>
      <c r="E333" s="26">
        <v>27</v>
      </c>
      <c r="F333" s="26">
        <v>1289</v>
      </c>
      <c r="G333" s="22">
        <f t="shared" si="14"/>
        <v>302753</v>
      </c>
      <c r="H333" s="18" t="str">
        <f t="shared" si="15"/>
        <v/>
      </c>
      <c r="I333" s="22" t="str">
        <f t="shared" si="16"/>
        <v/>
      </c>
      <c r="J333" s="20" t="str">
        <f>IF(I333="", "", COUNT($I$12:$I333))</f>
        <v/>
      </c>
      <c r="K333" s="28" t="s">
        <v>351</v>
      </c>
    </row>
    <row r="334" spans="3:11" ht="13.5" customHeight="1" x14ac:dyDescent="0.4">
      <c r="C334" s="26">
        <v>2</v>
      </c>
      <c r="D334" s="26" t="s">
        <v>24</v>
      </c>
      <c r="E334" s="26">
        <v>28</v>
      </c>
      <c r="F334" s="26">
        <v>1356</v>
      </c>
      <c r="G334" s="22">
        <f t="shared" ref="G334:G397" si="17">G333+F334</f>
        <v>304109</v>
      </c>
      <c r="H334" s="18">
        <f t="shared" si="15"/>
        <v>303921.59139784944</v>
      </c>
      <c r="I334" s="22">
        <f t="shared" si="16"/>
        <v>1168.5913978494355</v>
      </c>
      <c r="J334" s="20">
        <f>IF(I334="", "", COUNT($I$12:$I334))</f>
        <v>32</v>
      </c>
      <c r="K334" s="28" t="s">
        <v>352</v>
      </c>
    </row>
    <row r="335" spans="3:11" ht="13.5" customHeight="1" x14ac:dyDescent="0.4">
      <c r="C335" s="26">
        <v>2</v>
      </c>
      <c r="D335" s="26" t="s">
        <v>24</v>
      </c>
      <c r="E335" s="26">
        <v>29</v>
      </c>
      <c r="F335" s="26">
        <v>1483</v>
      </c>
      <c r="G335" s="22">
        <f t="shared" si="17"/>
        <v>305592</v>
      </c>
      <c r="H335" s="18" t="str">
        <f t="shared" si="15"/>
        <v/>
      </c>
      <c r="I335" s="22" t="str">
        <f t="shared" si="16"/>
        <v/>
      </c>
      <c r="J335" s="20" t="str">
        <f>IF(I335="", "", COUNT($I$12:$I335))</f>
        <v/>
      </c>
      <c r="K335" s="28" t="s">
        <v>353</v>
      </c>
    </row>
    <row r="336" spans="3:11" ht="13.5" customHeight="1" x14ac:dyDescent="0.4">
      <c r="C336" s="26">
        <v>2</v>
      </c>
      <c r="D336" s="26" t="s">
        <v>24</v>
      </c>
      <c r="E336" s="26">
        <v>30</v>
      </c>
      <c r="F336" s="26">
        <v>1291</v>
      </c>
      <c r="G336" s="22">
        <f t="shared" si="17"/>
        <v>306883</v>
      </c>
      <c r="H336" s="18" t="str">
        <f t="shared" si="15"/>
        <v/>
      </c>
      <c r="I336" s="22" t="str">
        <f t="shared" si="16"/>
        <v/>
      </c>
      <c r="J336" s="20" t="str">
        <f>IF(I336="", "", COUNT($I$12:$I336))</f>
        <v/>
      </c>
      <c r="K336" s="28" t="s">
        <v>354</v>
      </c>
    </row>
    <row r="337" spans="3:11" ht="13.5" customHeight="1" x14ac:dyDescent="0.4">
      <c r="C337" s="26">
        <v>2</v>
      </c>
      <c r="D337" s="26" t="s">
        <v>24</v>
      </c>
      <c r="E337" s="26">
        <v>31</v>
      </c>
      <c r="F337" s="26">
        <v>1107</v>
      </c>
      <c r="G337" s="22">
        <f t="shared" si="17"/>
        <v>307990</v>
      </c>
      <c r="H337" s="18" t="str">
        <f t="shared" si="15"/>
        <v/>
      </c>
      <c r="I337" s="22" t="str">
        <f t="shared" si="16"/>
        <v/>
      </c>
      <c r="J337" s="20" t="str">
        <f>IF(I337="", "", COUNT($I$12:$I337))</f>
        <v/>
      </c>
      <c r="K337" s="28" t="s">
        <v>355</v>
      </c>
    </row>
    <row r="338" spans="3:11" ht="13.5" customHeight="1" x14ac:dyDescent="0.4">
      <c r="C338" s="26">
        <v>2</v>
      </c>
      <c r="D338" s="26" t="s">
        <v>24</v>
      </c>
      <c r="E338" s="26">
        <v>32</v>
      </c>
      <c r="F338" s="26">
        <v>1524</v>
      </c>
      <c r="G338" s="22">
        <f t="shared" si="17"/>
        <v>309514</v>
      </c>
      <c r="H338" s="18" t="str">
        <f t="shared" si="15"/>
        <v/>
      </c>
      <c r="I338" s="22" t="str">
        <f t="shared" si="16"/>
        <v/>
      </c>
      <c r="J338" s="20" t="str">
        <f>IF(I338="", "", COUNT($I$12:$I338))</f>
        <v/>
      </c>
      <c r="K338" s="28" t="s">
        <v>356</v>
      </c>
    </row>
    <row r="339" spans="3:11" ht="13.5" customHeight="1" x14ac:dyDescent="0.4">
      <c r="C339" s="26">
        <v>2</v>
      </c>
      <c r="D339" s="26" t="s">
        <v>24</v>
      </c>
      <c r="E339" s="26">
        <v>33</v>
      </c>
      <c r="F339" s="26">
        <v>1479</v>
      </c>
      <c r="G339" s="22">
        <f t="shared" si="17"/>
        <v>310993</v>
      </c>
      <c r="H339" s="18" t="str">
        <f t="shared" si="15"/>
        <v/>
      </c>
      <c r="I339" s="22" t="str">
        <f t="shared" si="16"/>
        <v/>
      </c>
      <c r="J339" s="20" t="str">
        <f>IF(I339="", "", COUNT($I$12:$I339))</f>
        <v/>
      </c>
      <c r="K339" s="28" t="s">
        <v>357</v>
      </c>
    </row>
    <row r="340" spans="3:11" ht="13.5" customHeight="1" x14ac:dyDescent="0.4">
      <c r="C340" s="26">
        <v>2</v>
      </c>
      <c r="D340" s="26" t="s">
        <v>24</v>
      </c>
      <c r="E340" s="26">
        <v>34</v>
      </c>
      <c r="F340" s="26">
        <v>1343</v>
      </c>
      <c r="G340" s="22">
        <f t="shared" si="17"/>
        <v>312336</v>
      </c>
      <c r="H340" s="18" t="str">
        <f t="shared" si="15"/>
        <v/>
      </c>
      <c r="I340" s="22" t="str">
        <f t="shared" si="16"/>
        <v/>
      </c>
      <c r="J340" s="20" t="str">
        <f>IF(I340="", "", COUNT($I$12:$I340))</f>
        <v/>
      </c>
      <c r="K340" s="28" t="s">
        <v>358</v>
      </c>
    </row>
    <row r="341" spans="3:11" ht="13.5" customHeight="1" x14ac:dyDescent="0.4">
      <c r="C341" s="26">
        <v>2</v>
      </c>
      <c r="D341" s="26" t="s">
        <v>24</v>
      </c>
      <c r="E341" s="26">
        <v>35</v>
      </c>
      <c r="F341" s="26">
        <v>1369</v>
      </c>
      <c r="G341" s="22">
        <f t="shared" si="17"/>
        <v>313705</v>
      </c>
      <c r="H341" s="18">
        <f t="shared" si="15"/>
        <v>313418.51612903224</v>
      </c>
      <c r="I341" s="22">
        <f t="shared" si="16"/>
        <v>1082.516129032243</v>
      </c>
      <c r="J341" s="20">
        <f>IF(I341="", "", COUNT($I$12:$I341))</f>
        <v>33</v>
      </c>
      <c r="K341" s="28" t="s">
        <v>359</v>
      </c>
    </row>
    <row r="342" spans="3:11" ht="13.5" customHeight="1" x14ac:dyDescent="0.4">
      <c r="C342" s="26">
        <v>2</v>
      </c>
      <c r="D342" s="26" t="s">
        <v>24</v>
      </c>
      <c r="E342" s="26">
        <v>36</v>
      </c>
      <c r="F342" s="26">
        <v>1166</v>
      </c>
      <c r="G342" s="22">
        <f t="shared" si="17"/>
        <v>314871</v>
      </c>
      <c r="H342" s="18" t="str">
        <f t="shared" si="15"/>
        <v/>
      </c>
      <c r="I342" s="22" t="str">
        <f t="shared" si="16"/>
        <v/>
      </c>
      <c r="J342" s="20" t="str">
        <f>IF(I342="", "", COUNT($I$12:$I342))</f>
        <v/>
      </c>
      <c r="K342" s="28" t="s">
        <v>360</v>
      </c>
    </row>
    <row r="343" spans="3:11" ht="13.5" customHeight="1" x14ac:dyDescent="0.4">
      <c r="C343" s="26">
        <v>2</v>
      </c>
      <c r="D343" s="26" t="s">
        <v>24</v>
      </c>
      <c r="E343" s="26">
        <v>37</v>
      </c>
      <c r="F343" s="26">
        <v>1346</v>
      </c>
      <c r="G343" s="22">
        <f t="shared" si="17"/>
        <v>316217</v>
      </c>
      <c r="H343" s="18" t="str">
        <f t="shared" si="15"/>
        <v/>
      </c>
      <c r="I343" s="22" t="str">
        <f t="shared" si="16"/>
        <v/>
      </c>
      <c r="J343" s="20" t="str">
        <f>IF(I343="", "", COUNT($I$12:$I343))</f>
        <v/>
      </c>
      <c r="K343" s="28" t="s">
        <v>361</v>
      </c>
    </row>
    <row r="344" spans="3:11" ht="13.5" customHeight="1" x14ac:dyDescent="0.4">
      <c r="C344" s="26">
        <v>2</v>
      </c>
      <c r="D344" s="26" t="s">
        <v>24</v>
      </c>
      <c r="E344" s="26">
        <v>38</v>
      </c>
      <c r="F344" s="26">
        <v>1159</v>
      </c>
      <c r="G344" s="22">
        <f t="shared" si="17"/>
        <v>317376</v>
      </c>
      <c r="H344" s="18" t="str">
        <f t="shared" si="15"/>
        <v/>
      </c>
      <c r="I344" s="22" t="str">
        <f t="shared" si="16"/>
        <v/>
      </c>
      <c r="J344" s="20" t="str">
        <f>IF(I344="", "", COUNT($I$12:$I344))</f>
        <v/>
      </c>
      <c r="K344" s="28" t="s">
        <v>362</v>
      </c>
    </row>
    <row r="345" spans="3:11" ht="13.5" customHeight="1" x14ac:dyDescent="0.4">
      <c r="C345" s="26">
        <v>2</v>
      </c>
      <c r="D345" s="26" t="s">
        <v>24</v>
      </c>
      <c r="E345" s="26">
        <v>39</v>
      </c>
      <c r="F345" s="26">
        <v>1352</v>
      </c>
      <c r="G345" s="22">
        <f t="shared" si="17"/>
        <v>318728</v>
      </c>
      <c r="H345" s="18" t="str">
        <f t="shared" si="15"/>
        <v/>
      </c>
      <c r="I345" s="22" t="str">
        <f t="shared" si="16"/>
        <v/>
      </c>
      <c r="J345" s="20" t="str">
        <f>IF(I345="", "", COUNT($I$12:$I345))</f>
        <v/>
      </c>
      <c r="K345" s="28" t="s">
        <v>363</v>
      </c>
    </row>
    <row r="346" spans="3:11" ht="13.5" customHeight="1" x14ac:dyDescent="0.4">
      <c r="C346" s="26">
        <v>2</v>
      </c>
      <c r="D346" s="26" t="s">
        <v>24</v>
      </c>
      <c r="E346" s="26">
        <v>40</v>
      </c>
      <c r="F346" s="26">
        <v>1457</v>
      </c>
      <c r="G346" s="22">
        <f t="shared" si="17"/>
        <v>320185</v>
      </c>
      <c r="H346" s="18" t="str">
        <f t="shared" si="15"/>
        <v/>
      </c>
      <c r="I346" s="22" t="str">
        <f t="shared" si="16"/>
        <v/>
      </c>
      <c r="J346" s="20" t="str">
        <f>IF(I346="", "", COUNT($I$12:$I346))</f>
        <v/>
      </c>
      <c r="K346" s="28" t="s">
        <v>364</v>
      </c>
    </row>
    <row r="347" spans="3:11" ht="13.5" customHeight="1" x14ac:dyDescent="0.4">
      <c r="C347" s="26">
        <v>2</v>
      </c>
      <c r="D347" s="26" t="s">
        <v>24</v>
      </c>
      <c r="E347" s="26">
        <v>41</v>
      </c>
      <c r="F347" s="26">
        <v>1496</v>
      </c>
      <c r="G347" s="22">
        <f t="shared" si="17"/>
        <v>321681</v>
      </c>
      <c r="H347" s="18" t="str">
        <f t="shared" si="15"/>
        <v/>
      </c>
      <c r="I347" s="22" t="str">
        <f t="shared" si="16"/>
        <v/>
      </c>
      <c r="J347" s="20" t="str">
        <f>IF(I347="", "", COUNT($I$12:$I347))</f>
        <v/>
      </c>
      <c r="K347" s="28" t="s">
        <v>365</v>
      </c>
    </row>
    <row r="348" spans="3:11" ht="13.5" customHeight="1" x14ac:dyDescent="0.4">
      <c r="C348" s="26">
        <v>2</v>
      </c>
      <c r="D348" s="26" t="s">
        <v>24</v>
      </c>
      <c r="E348" s="26">
        <v>42</v>
      </c>
      <c r="F348" s="26">
        <v>1082</v>
      </c>
      <c r="G348" s="22">
        <f t="shared" si="17"/>
        <v>322763</v>
      </c>
      <c r="H348" s="18" t="str">
        <f t="shared" si="15"/>
        <v/>
      </c>
      <c r="I348" s="22" t="str">
        <f t="shared" si="16"/>
        <v/>
      </c>
      <c r="J348" s="20" t="str">
        <f>IF(I348="", "", COUNT($I$12:$I348))</f>
        <v/>
      </c>
      <c r="K348" s="28" t="s">
        <v>366</v>
      </c>
    </row>
    <row r="349" spans="3:11" ht="13.5" customHeight="1" x14ac:dyDescent="0.4">
      <c r="C349" s="26">
        <v>2</v>
      </c>
      <c r="D349" s="26" t="s">
        <v>24</v>
      </c>
      <c r="E349" s="26">
        <v>43</v>
      </c>
      <c r="F349" s="26">
        <v>1213</v>
      </c>
      <c r="G349" s="22">
        <f t="shared" si="17"/>
        <v>323976</v>
      </c>
      <c r="H349" s="18">
        <f t="shared" si="15"/>
        <v>322915.44086021505</v>
      </c>
      <c r="I349" s="22">
        <f t="shared" si="16"/>
        <v>152.44086021505063</v>
      </c>
      <c r="J349" s="20">
        <f>IF(I349="", "", COUNT($I$12:$I349))</f>
        <v>34</v>
      </c>
      <c r="K349" s="28" t="s">
        <v>367</v>
      </c>
    </row>
    <row r="350" spans="3:11" ht="13.5" customHeight="1" x14ac:dyDescent="0.4">
      <c r="C350" s="26">
        <v>2</v>
      </c>
      <c r="D350" s="26" t="s">
        <v>24</v>
      </c>
      <c r="E350" s="26">
        <v>44</v>
      </c>
      <c r="F350" s="26">
        <v>1143</v>
      </c>
      <c r="G350" s="22">
        <f t="shared" si="17"/>
        <v>325119</v>
      </c>
      <c r="H350" s="18" t="str">
        <f t="shared" si="15"/>
        <v/>
      </c>
      <c r="I350" s="22" t="str">
        <f t="shared" si="16"/>
        <v/>
      </c>
      <c r="J350" s="20" t="str">
        <f>IF(I350="", "", COUNT($I$12:$I350))</f>
        <v/>
      </c>
      <c r="K350" s="28" t="s">
        <v>368</v>
      </c>
    </row>
    <row r="351" spans="3:11" ht="13.5" customHeight="1" x14ac:dyDescent="0.4">
      <c r="C351" s="26">
        <v>2</v>
      </c>
      <c r="D351" s="26" t="s">
        <v>24</v>
      </c>
      <c r="E351" s="26">
        <v>45</v>
      </c>
      <c r="F351" s="26">
        <v>1468</v>
      </c>
      <c r="G351" s="22">
        <f t="shared" si="17"/>
        <v>326587</v>
      </c>
      <c r="H351" s="18" t="str">
        <f t="shared" si="15"/>
        <v/>
      </c>
      <c r="I351" s="22" t="str">
        <f t="shared" si="16"/>
        <v/>
      </c>
      <c r="J351" s="20" t="str">
        <f>IF(I351="", "", COUNT($I$12:$I351))</f>
        <v/>
      </c>
      <c r="K351" s="28" t="s">
        <v>369</v>
      </c>
    </row>
    <row r="352" spans="3:11" ht="13.5" customHeight="1" x14ac:dyDescent="0.4">
      <c r="C352" s="26">
        <v>2</v>
      </c>
      <c r="D352" s="26" t="s">
        <v>24</v>
      </c>
      <c r="E352" s="26">
        <v>46</v>
      </c>
      <c r="F352" s="26">
        <v>1461</v>
      </c>
      <c r="G352" s="22">
        <f t="shared" si="17"/>
        <v>328048</v>
      </c>
      <c r="H352" s="18" t="str">
        <f t="shared" si="15"/>
        <v/>
      </c>
      <c r="I352" s="22" t="str">
        <f t="shared" si="16"/>
        <v/>
      </c>
      <c r="J352" s="20" t="str">
        <f>IF(I352="", "", COUNT($I$12:$I352))</f>
        <v/>
      </c>
      <c r="K352" s="28" t="s">
        <v>370</v>
      </c>
    </row>
    <row r="353" spans="3:11" ht="13.5" customHeight="1" x14ac:dyDescent="0.4">
      <c r="C353" s="26">
        <v>2</v>
      </c>
      <c r="D353" s="26" t="s">
        <v>24</v>
      </c>
      <c r="E353" s="26">
        <v>47</v>
      </c>
      <c r="F353" s="26">
        <v>1457</v>
      </c>
      <c r="G353" s="22">
        <f t="shared" si="17"/>
        <v>329505</v>
      </c>
      <c r="H353" s="18" t="str">
        <f t="shared" si="15"/>
        <v/>
      </c>
      <c r="I353" s="22" t="str">
        <f t="shared" si="16"/>
        <v/>
      </c>
      <c r="J353" s="20" t="str">
        <f>IF(I353="", "", COUNT($I$12:$I353))</f>
        <v/>
      </c>
      <c r="K353" s="28" t="s">
        <v>371</v>
      </c>
    </row>
    <row r="354" spans="3:11" ht="13.5" customHeight="1" x14ac:dyDescent="0.4">
      <c r="C354" s="26">
        <v>2</v>
      </c>
      <c r="D354" s="26" t="s">
        <v>24</v>
      </c>
      <c r="E354" s="26">
        <v>48</v>
      </c>
      <c r="F354" s="26">
        <v>1373</v>
      </c>
      <c r="G354" s="22">
        <f t="shared" si="17"/>
        <v>330878</v>
      </c>
      <c r="H354" s="18" t="str">
        <f t="shared" si="15"/>
        <v/>
      </c>
      <c r="I354" s="22" t="str">
        <f t="shared" si="16"/>
        <v/>
      </c>
      <c r="J354" s="20" t="str">
        <f>IF(I354="", "", COUNT($I$12:$I354))</f>
        <v/>
      </c>
      <c r="K354" s="28" t="s">
        <v>372</v>
      </c>
    </row>
    <row r="355" spans="3:11" ht="13.5" customHeight="1" x14ac:dyDescent="0.4">
      <c r="C355" s="26">
        <v>2</v>
      </c>
      <c r="D355" s="26" t="s">
        <v>24</v>
      </c>
      <c r="E355" s="26">
        <v>49</v>
      </c>
      <c r="F355" s="26">
        <v>1050</v>
      </c>
      <c r="G355" s="22">
        <f t="shared" si="17"/>
        <v>331928</v>
      </c>
      <c r="H355" s="18" t="str">
        <f t="shared" si="15"/>
        <v/>
      </c>
      <c r="I355" s="22" t="str">
        <f t="shared" si="16"/>
        <v/>
      </c>
      <c r="J355" s="20" t="str">
        <f>IF(I355="", "", COUNT($I$12:$I355))</f>
        <v/>
      </c>
      <c r="K355" s="28" t="s">
        <v>373</v>
      </c>
    </row>
    <row r="356" spans="3:11" ht="13.5" customHeight="1" x14ac:dyDescent="0.4">
      <c r="C356" s="26">
        <v>2</v>
      </c>
      <c r="D356" s="26" t="s">
        <v>24</v>
      </c>
      <c r="E356" s="26">
        <v>50</v>
      </c>
      <c r="F356" s="26">
        <v>755</v>
      </c>
      <c r="G356" s="22">
        <f t="shared" si="17"/>
        <v>332683</v>
      </c>
      <c r="H356" s="18">
        <f t="shared" si="15"/>
        <v>332412.3655913978</v>
      </c>
      <c r="I356" s="22">
        <f t="shared" si="16"/>
        <v>484.36559139780002</v>
      </c>
      <c r="J356" s="20">
        <f>IF(I356="", "", COUNT($I$12:$I356))</f>
        <v>35</v>
      </c>
      <c r="K356" s="28" t="s">
        <v>374</v>
      </c>
    </row>
    <row r="357" spans="3:11" ht="13.5" customHeight="1" x14ac:dyDescent="0.4">
      <c r="C357" s="26">
        <v>2</v>
      </c>
      <c r="D357" s="26" t="s">
        <v>24</v>
      </c>
      <c r="E357" s="26">
        <v>51</v>
      </c>
      <c r="F357" s="26">
        <v>765</v>
      </c>
      <c r="G357" s="22">
        <f t="shared" si="17"/>
        <v>333448</v>
      </c>
      <c r="H357" s="18" t="str">
        <f t="shared" si="15"/>
        <v/>
      </c>
      <c r="I357" s="22" t="str">
        <f t="shared" si="16"/>
        <v/>
      </c>
      <c r="J357" s="20" t="str">
        <f>IF(I357="", "", COUNT($I$12:$I357))</f>
        <v/>
      </c>
      <c r="K357" s="28" t="s">
        <v>375</v>
      </c>
    </row>
    <row r="358" spans="3:11" ht="13.5" customHeight="1" x14ac:dyDescent="0.4">
      <c r="C358" s="26">
        <v>2</v>
      </c>
      <c r="D358" s="26" t="s">
        <v>24</v>
      </c>
      <c r="E358" s="26">
        <v>52</v>
      </c>
      <c r="F358" s="26">
        <v>1360</v>
      </c>
      <c r="G358" s="22">
        <f t="shared" si="17"/>
        <v>334808</v>
      </c>
      <c r="H358" s="18" t="str">
        <f t="shared" si="15"/>
        <v/>
      </c>
      <c r="I358" s="22" t="str">
        <f t="shared" si="16"/>
        <v/>
      </c>
      <c r="J358" s="20" t="str">
        <f>IF(I358="", "", COUNT($I$12:$I358))</f>
        <v/>
      </c>
      <c r="K358" s="28" t="s">
        <v>376</v>
      </c>
    </row>
    <row r="359" spans="3:11" ht="13.5" customHeight="1" x14ac:dyDescent="0.4">
      <c r="C359" s="26">
        <v>2</v>
      </c>
      <c r="D359" s="26" t="s">
        <v>24</v>
      </c>
      <c r="E359" s="26">
        <v>53</v>
      </c>
      <c r="F359" s="26">
        <v>824</v>
      </c>
      <c r="G359" s="22">
        <f t="shared" si="17"/>
        <v>335632</v>
      </c>
      <c r="H359" s="18" t="str">
        <f t="shared" si="15"/>
        <v/>
      </c>
      <c r="I359" s="22" t="str">
        <f t="shared" si="16"/>
        <v/>
      </c>
      <c r="J359" s="20" t="str">
        <f>IF(I359="", "", COUNT($I$12:$I359))</f>
        <v/>
      </c>
      <c r="K359" s="28" t="s">
        <v>377</v>
      </c>
    </row>
    <row r="360" spans="3:11" ht="13.5" customHeight="1" x14ac:dyDescent="0.4">
      <c r="C360" s="26">
        <v>2</v>
      </c>
      <c r="D360" s="26" t="s">
        <v>24</v>
      </c>
      <c r="E360" s="26">
        <v>54</v>
      </c>
      <c r="F360" s="26">
        <v>773</v>
      </c>
      <c r="G360" s="22">
        <f t="shared" si="17"/>
        <v>336405</v>
      </c>
      <c r="H360" s="18" t="str">
        <f t="shared" si="15"/>
        <v/>
      </c>
      <c r="I360" s="22" t="str">
        <f t="shared" si="16"/>
        <v/>
      </c>
      <c r="J360" s="20" t="str">
        <f>IF(I360="", "", COUNT($I$12:$I360))</f>
        <v/>
      </c>
      <c r="K360" s="28" t="s">
        <v>378</v>
      </c>
    </row>
    <row r="361" spans="3:11" ht="13.5" customHeight="1" x14ac:dyDescent="0.4">
      <c r="C361" s="26">
        <v>2</v>
      </c>
      <c r="D361" s="26" t="s">
        <v>24</v>
      </c>
      <c r="E361" s="26">
        <v>55</v>
      </c>
      <c r="F361" s="26">
        <v>1500</v>
      </c>
      <c r="G361" s="22">
        <f t="shared" si="17"/>
        <v>337905</v>
      </c>
      <c r="H361" s="18" t="str">
        <f t="shared" si="15"/>
        <v/>
      </c>
      <c r="I361" s="22" t="str">
        <f t="shared" si="16"/>
        <v/>
      </c>
      <c r="J361" s="20" t="str">
        <f>IF(I361="", "", COUNT($I$12:$I361))</f>
        <v/>
      </c>
      <c r="K361" s="28" t="s">
        <v>379</v>
      </c>
    </row>
    <row r="362" spans="3:11" ht="13.5" customHeight="1" x14ac:dyDescent="0.4">
      <c r="C362" s="26">
        <v>2</v>
      </c>
      <c r="D362" s="26" t="s">
        <v>24</v>
      </c>
      <c r="E362" s="26">
        <v>56</v>
      </c>
      <c r="F362" s="26">
        <v>1482</v>
      </c>
      <c r="G362" s="22">
        <f t="shared" si="17"/>
        <v>339387</v>
      </c>
      <c r="H362" s="18" t="str">
        <f t="shared" si="15"/>
        <v/>
      </c>
      <c r="I362" s="22" t="str">
        <f t="shared" si="16"/>
        <v/>
      </c>
      <c r="J362" s="20" t="str">
        <f>IF(I362="", "", COUNT($I$12:$I362))</f>
        <v/>
      </c>
      <c r="K362" s="28" t="s">
        <v>380</v>
      </c>
    </row>
    <row r="363" spans="3:11" ht="13.5" customHeight="1" x14ac:dyDescent="0.4">
      <c r="C363" s="26">
        <v>2</v>
      </c>
      <c r="D363" s="26" t="s">
        <v>24</v>
      </c>
      <c r="E363" s="26">
        <v>57</v>
      </c>
      <c r="F363" s="26">
        <v>1520</v>
      </c>
      <c r="G363" s="22">
        <f t="shared" si="17"/>
        <v>340907</v>
      </c>
      <c r="H363" s="18" t="str">
        <f t="shared" si="15"/>
        <v/>
      </c>
      <c r="I363" s="22" t="str">
        <f t="shared" si="16"/>
        <v/>
      </c>
      <c r="J363" s="20" t="str">
        <f>IF(I363="", "", COUNT($I$12:$I363))</f>
        <v/>
      </c>
      <c r="K363" s="28" t="s">
        <v>381</v>
      </c>
    </row>
    <row r="364" spans="3:11" ht="13.5" customHeight="1" x14ac:dyDescent="0.4">
      <c r="C364" s="26">
        <v>2</v>
      </c>
      <c r="D364" s="26" t="s">
        <v>24</v>
      </c>
      <c r="E364" s="26">
        <v>58</v>
      </c>
      <c r="F364" s="26">
        <v>1465</v>
      </c>
      <c r="G364" s="22">
        <f t="shared" si="17"/>
        <v>342372</v>
      </c>
      <c r="H364" s="18">
        <f t="shared" si="15"/>
        <v>341909.29032258061</v>
      </c>
      <c r="I364" s="22">
        <f t="shared" si="16"/>
        <v>1002.2903225806076</v>
      </c>
      <c r="J364" s="20">
        <f>IF(I364="", "", COUNT($I$12:$I364))</f>
        <v>36</v>
      </c>
      <c r="K364" s="28" t="s">
        <v>382</v>
      </c>
    </row>
    <row r="365" spans="3:11" ht="13.5" customHeight="1" x14ac:dyDescent="0.4">
      <c r="C365" s="26">
        <v>2</v>
      </c>
      <c r="D365" s="26" t="s">
        <v>24</v>
      </c>
      <c r="E365" s="26">
        <v>59</v>
      </c>
      <c r="F365" s="26">
        <v>1271</v>
      </c>
      <c r="G365" s="22">
        <f t="shared" si="17"/>
        <v>343643</v>
      </c>
      <c r="H365" s="18" t="str">
        <f t="shared" si="15"/>
        <v/>
      </c>
      <c r="I365" s="22" t="str">
        <f t="shared" si="16"/>
        <v/>
      </c>
      <c r="J365" s="20" t="str">
        <f>IF(I365="", "", COUNT($I$12:$I365))</f>
        <v/>
      </c>
      <c r="K365" s="28" t="s">
        <v>383</v>
      </c>
    </row>
    <row r="366" spans="3:11" ht="13.5" customHeight="1" x14ac:dyDescent="0.4">
      <c r="C366" s="26">
        <v>2</v>
      </c>
      <c r="D366" s="26" t="s">
        <v>24</v>
      </c>
      <c r="E366" s="26">
        <v>60</v>
      </c>
      <c r="F366" s="26">
        <v>1279</v>
      </c>
      <c r="G366" s="22">
        <f t="shared" si="17"/>
        <v>344922</v>
      </c>
      <c r="H366" s="18" t="str">
        <f t="shared" si="15"/>
        <v/>
      </c>
      <c r="I366" s="22" t="str">
        <f t="shared" si="16"/>
        <v/>
      </c>
      <c r="J366" s="20" t="str">
        <f>IF(I366="", "", COUNT($I$12:$I366))</f>
        <v/>
      </c>
      <c r="K366" s="28" t="s">
        <v>384</v>
      </c>
    </row>
    <row r="367" spans="3:11" ht="13.5" customHeight="1" x14ac:dyDescent="0.4">
      <c r="C367" s="26">
        <v>2</v>
      </c>
      <c r="D367" s="26" t="s">
        <v>24</v>
      </c>
      <c r="E367" s="26">
        <v>61</v>
      </c>
      <c r="F367" s="26">
        <v>1472</v>
      </c>
      <c r="G367" s="22">
        <f t="shared" si="17"/>
        <v>346394</v>
      </c>
      <c r="H367" s="18" t="str">
        <f t="shared" si="15"/>
        <v/>
      </c>
      <c r="I367" s="22" t="str">
        <f t="shared" si="16"/>
        <v/>
      </c>
      <c r="J367" s="20" t="str">
        <f>IF(I367="", "", COUNT($I$12:$I367))</f>
        <v/>
      </c>
      <c r="K367" s="28" t="s">
        <v>385</v>
      </c>
    </row>
    <row r="368" spans="3:11" ht="13.5" customHeight="1" x14ac:dyDescent="0.4">
      <c r="C368" s="26">
        <v>2</v>
      </c>
      <c r="D368" s="26" t="s">
        <v>24</v>
      </c>
      <c r="E368" s="26">
        <v>62</v>
      </c>
      <c r="F368" s="26">
        <v>1310</v>
      </c>
      <c r="G368" s="22">
        <f t="shared" si="17"/>
        <v>347704</v>
      </c>
      <c r="H368" s="18" t="str">
        <f t="shared" si="15"/>
        <v/>
      </c>
      <c r="I368" s="22" t="str">
        <f t="shared" si="16"/>
        <v/>
      </c>
      <c r="J368" s="20" t="str">
        <f>IF(I368="", "", COUNT($I$12:$I368))</f>
        <v/>
      </c>
      <c r="K368" s="28" t="s">
        <v>386</v>
      </c>
    </row>
    <row r="369" spans="3:11" ht="13.5" customHeight="1" x14ac:dyDescent="0.4">
      <c r="C369" s="26">
        <v>2</v>
      </c>
      <c r="D369" s="26" t="s">
        <v>24</v>
      </c>
      <c r="E369" s="26">
        <v>63</v>
      </c>
      <c r="F369" s="26">
        <v>1112</v>
      </c>
      <c r="G369" s="22">
        <f t="shared" si="17"/>
        <v>348816</v>
      </c>
      <c r="H369" s="18" t="str">
        <f t="shared" si="15"/>
        <v/>
      </c>
      <c r="I369" s="22" t="str">
        <f t="shared" si="16"/>
        <v/>
      </c>
      <c r="J369" s="20" t="str">
        <f>IF(I369="", "", COUNT($I$12:$I369))</f>
        <v/>
      </c>
      <c r="K369" s="28" t="s">
        <v>387</v>
      </c>
    </row>
    <row r="370" spans="3:11" ht="13.5" customHeight="1" x14ac:dyDescent="0.4">
      <c r="C370" s="26">
        <v>2</v>
      </c>
      <c r="D370" s="26" t="s">
        <v>24</v>
      </c>
      <c r="E370" s="26">
        <v>64</v>
      </c>
      <c r="F370" s="26">
        <v>1156</v>
      </c>
      <c r="G370" s="22">
        <f t="shared" si="17"/>
        <v>349972</v>
      </c>
      <c r="H370" s="18" t="str">
        <f t="shared" si="15"/>
        <v/>
      </c>
      <c r="I370" s="22" t="str">
        <f t="shared" si="16"/>
        <v/>
      </c>
      <c r="J370" s="20" t="str">
        <f>IF(I370="", "", COUNT($I$12:$I370))</f>
        <v/>
      </c>
      <c r="K370" s="28" t="s">
        <v>388</v>
      </c>
    </row>
    <row r="371" spans="3:11" ht="13.5" customHeight="1" x14ac:dyDescent="0.4">
      <c r="C371" s="26">
        <v>2</v>
      </c>
      <c r="D371" s="26" t="s">
        <v>24</v>
      </c>
      <c r="E371" s="26">
        <v>65</v>
      </c>
      <c r="F371" s="26">
        <v>964</v>
      </c>
      <c r="G371" s="22">
        <f t="shared" si="17"/>
        <v>350936</v>
      </c>
      <c r="H371" s="18" t="str">
        <f t="shared" si="15"/>
        <v/>
      </c>
      <c r="I371" s="22" t="str">
        <f t="shared" si="16"/>
        <v/>
      </c>
      <c r="J371" s="20" t="str">
        <f>IF(I371="", "", COUNT($I$12:$I371))</f>
        <v/>
      </c>
      <c r="K371" s="28" t="s">
        <v>389</v>
      </c>
    </row>
    <row r="372" spans="3:11" ht="13.5" customHeight="1" x14ac:dyDescent="0.4">
      <c r="C372" s="26">
        <v>2</v>
      </c>
      <c r="D372" s="26" t="s">
        <v>24</v>
      </c>
      <c r="E372" s="26">
        <v>66</v>
      </c>
      <c r="F372" s="26">
        <v>762</v>
      </c>
      <c r="G372" s="22">
        <f t="shared" si="17"/>
        <v>351698</v>
      </c>
      <c r="H372" s="18">
        <f t="shared" si="15"/>
        <v>351406.21505376342</v>
      </c>
      <c r="I372" s="22">
        <f t="shared" si="16"/>
        <v>470.2150537634152</v>
      </c>
      <c r="J372" s="20">
        <f>IF(I372="", "", COUNT($I$12:$I372))</f>
        <v>37</v>
      </c>
      <c r="K372" s="28" t="s">
        <v>390</v>
      </c>
    </row>
    <row r="373" spans="3:11" ht="13.5" customHeight="1" x14ac:dyDescent="0.4">
      <c r="C373" s="26">
        <v>2</v>
      </c>
      <c r="D373" s="26" t="s">
        <v>24</v>
      </c>
      <c r="E373" s="26">
        <v>67</v>
      </c>
      <c r="F373" s="26">
        <v>1085</v>
      </c>
      <c r="G373" s="22">
        <f t="shared" si="17"/>
        <v>352783</v>
      </c>
      <c r="H373" s="18" t="str">
        <f t="shared" si="15"/>
        <v/>
      </c>
      <c r="I373" s="22" t="str">
        <f t="shared" si="16"/>
        <v/>
      </c>
      <c r="J373" s="20" t="str">
        <f>IF(I373="", "", COUNT($I$12:$I373))</f>
        <v/>
      </c>
      <c r="K373" s="28" t="s">
        <v>391</v>
      </c>
    </row>
    <row r="374" spans="3:11" ht="13.5" customHeight="1" x14ac:dyDescent="0.4">
      <c r="C374" s="26">
        <v>2</v>
      </c>
      <c r="D374" s="26" t="s">
        <v>24</v>
      </c>
      <c r="E374" s="26">
        <v>68</v>
      </c>
      <c r="F374" s="26">
        <v>1268</v>
      </c>
      <c r="G374" s="22">
        <f t="shared" si="17"/>
        <v>354051</v>
      </c>
      <c r="H374" s="18" t="str">
        <f t="shared" si="15"/>
        <v/>
      </c>
      <c r="I374" s="22" t="str">
        <f t="shared" si="16"/>
        <v/>
      </c>
      <c r="J374" s="20" t="str">
        <f>IF(I374="", "", COUNT($I$12:$I374))</f>
        <v/>
      </c>
      <c r="K374" s="28" t="s">
        <v>392</v>
      </c>
    </row>
    <row r="375" spans="3:11" ht="13.5" customHeight="1" x14ac:dyDescent="0.4">
      <c r="C375" s="26">
        <v>2</v>
      </c>
      <c r="D375" s="26" t="s">
        <v>24</v>
      </c>
      <c r="E375" s="26">
        <v>69</v>
      </c>
      <c r="F375" s="26">
        <v>1446</v>
      </c>
      <c r="G375" s="22">
        <f t="shared" si="17"/>
        <v>355497</v>
      </c>
      <c r="H375" s="18" t="str">
        <f t="shared" si="15"/>
        <v/>
      </c>
      <c r="I375" s="22" t="str">
        <f t="shared" si="16"/>
        <v/>
      </c>
      <c r="J375" s="20" t="str">
        <f>IF(I375="", "", COUNT($I$12:$I375))</f>
        <v/>
      </c>
      <c r="K375" s="28" t="s">
        <v>393</v>
      </c>
    </row>
    <row r="376" spans="3:11" ht="13.5" customHeight="1" x14ac:dyDescent="0.4">
      <c r="C376" s="26">
        <v>2</v>
      </c>
      <c r="D376" s="26" t="s">
        <v>24</v>
      </c>
      <c r="E376" s="26">
        <v>70</v>
      </c>
      <c r="F376" s="26">
        <v>1489</v>
      </c>
      <c r="G376" s="22">
        <f t="shared" si="17"/>
        <v>356986</v>
      </c>
      <c r="H376" s="18" t="str">
        <f t="shared" si="15"/>
        <v/>
      </c>
      <c r="I376" s="22" t="str">
        <f t="shared" si="16"/>
        <v/>
      </c>
      <c r="J376" s="20" t="str">
        <f>IF(I376="", "", COUNT($I$12:$I376))</f>
        <v/>
      </c>
      <c r="K376" s="28" t="s">
        <v>394</v>
      </c>
    </row>
    <row r="377" spans="3:11" ht="13.5" customHeight="1" x14ac:dyDescent="0.4">
      <c r="C377" s="26">
        <v>2</v>
      </c>
      <c r="D377" s="26" t="s">
        <v>24</v>
      </c>
      <c r="E377" s="26">
        <v>71</v>
      </c>
      <c r="F377" s="26">
        <v>1377</v>
      </c>
      <c r="G377" s="22">
        <f t="shared" si="17"/>
        <v>358363</v>
      </c>
      <c r="H377" s="18" t="str">
        <f t="shared" si="15"/>
        <v/>
      </c>
      <c r="I377" s="22" t="str">
        <f t="shared" si="16"/>
        <v/>
      </c>
      <c r="J377" s="20" t="str">
        <f>IF(I377="", "", COUNT($I$12:$I377))</f>
        <v/>
      </c>
      <c r="K377" s="28" t="s">
        <v>395</v>
      </c>
    </row>
    <row r="378" spans="3:11" ht="13.5" customHeight="1" x14ac:dyDescent="0.4">
      <c r="C378" s="26">
        <v>2</v>
      </c>
      <c r="D378" s="26" t="s">
        <v>24</v>
      </c>
      <c r="E378" s="26">
        <v>72</v>
      </c>
      <c r="F378" s="26">
        <v>1373</v>
      </c>
      <c r="G378" s="22">
        <f t="shared" si="17"/>
        <v>359736</v>
      </c>
      <c r="H378" s="18" t="str">
        <f t="shared" si="15"/>
        <v/>
      </c>
      <c r="I378" s="22" t="str">
        <f t="shared" si="16"/>
        <v/>
      </c>
      <c r="J378" s="20" t="str">
        <f>IF(I378="", "", COUNT($I$12:$I378))</f>
        <v/>
      </c>
      <c r="K378" s="28" t="s">
        <v>396</v>
      </c>
    </row>
    <row r="379" spans="3:11" ht="13.5" customHeight="1" x14ac:dyDescent="0.4">
      <c r="C379" s="26">
        <v>2</v>
      </c>
      <c r="D379" s="26" t="s">
        <v>24</v>
      </c>
      <c r="E379" s="26">
        <v>73</v>
      </c>
      <c r="F379" s="26">
        <v>1193</v>
      </c>
      <c r="G379" s="22">
        <f t="shared" si="17"/>
        <v>360929</v>
      </c>
      <c r="H379" s="18">
        <f t="shared" si="15"/>
        <v>360903.13978494622</v>
      </c>
      <c r="I379" s="22">
        <f t="shared" si="16"/>
        <v>1167.1397849462228</v>
      </c>
      <c r="J379" s="20">
        <f>IF(I379="", "", COUNT($I$12:$I379))</f>
        <v>38</v>
      </c>
      <c r="K379" s="28" t="s">
        <v>397</v>
      </c>
    </row>
    <row r="380" spans="3:11" ht="13.5" customHeight="1" x14ac:dyDescent="0.4">
      <c r="C380" s="26">
        <v>2</v>
      </c>
      <c r="D380" s="26" t="s">
        <v>24</v>
      </c>
      <c r="E380" s="26">
        <v>74</v>
      </c>
      <c r="F380" s="26">
        <v>1335</v>
      </c>
      <c r="G380" s="22">
        <f t="shared" si="17"/>
        <v>362264</v>
      </c>
      <c r="H380" s="18" t="str">
        <f t="shared" si="15"/>
        <v/>
      </c>
      <c r="I380" s="22" t="str">
        <f t="shared" si="16"/>
        <v/>
      </c>
      <c r="J380" s="20" t="str">
        <f>IF(I380="", "", COUNT($I$12:$I380))</f>
        <v/>
      </c>
      <c r="K380" s="28" t="s">
        <v>398</v>
      </c>
    </row>
    <row r="381" spans="3:11" ht="13.5" customHeight="1" x14ac:dyDescent="0.4">
      <c r="C381" s="26">
        <v>2</v>
      </c>
      <c r="D381" s="26" t="s">
        <v>24</v>
      </c>
      <c r="E381" s="26">
        <v>75</v>
      </c>
      <c r="F381" s="26">
        <v>1137</v>
      </c>
      <c r="G381" s="22">
        <f t="shared" si="17"/>
        <v>363401</v>
      </c>
      <c r="H381" s="18" t="str">
        <f t="shared" si="15"/>
        <v/>
      </c>
      <c r="I381" s="22" t="str">
        <f t="shared" si="16"/>
        <v/>
      </c>
      <c r="J381" s="20" t="str">
        <f>IF(I381="", "", COUNT($I$12:$I381))</f>
        <v/>
      </c>
      <c r="K381" s="28" t="s">
        <v>399</v>
      </c>
    </row>
    <row r="382" spans="3:11" ht="13.5" customHeight="1" x14ac:dyDescent="0.4">
      <c r="C382" s="26">
        <v>2</v>
      </c>
      <c r="D382" s="26" t="s">
        <v>24</v>
      </c>
      <c r="E382" s="26">
        <v>76</v>
      </c>
      <c r="F382" s="26">
        <v>1383</v>
      </c>
      <c r="G382" s="22">
        <f t="shared" si="17"/>
        <v>364784</v>
      </c>
      <c r="H382" s="18" t="str">
        <f t="shared" si="15"/>
        <v/>
      </c>
      <c r="I382" s="22" t="str">
        <f t="shared" si="16"/>
        <v/>
      </c>
      <c r="J382" s="20" t="str">
        <f>IF(I382="", "", COUNT($I$12:$I382))</f>
        <v/>
      </c>
      <c r="K382" s="28" t="s">
        <v>400</v>
      </c>
    </row>
    <row r="383" spans="3:11" ht="13.5" customHeight="1" x14ac:dyDescent="0.4">
      <c r="C383" s="26">
        <v>2</v>
      </c>
      <c r="D383" s="26" t="s">
        <v>24</v>
      </c>
      <c r="E383" s="26">
        <v>77</v>
      </c>
      <c r="F383" s="26">
        <v>1383</v>
      </c>
      <c r="G383" s="22">
        <f t="shared" si="17"/>
        <v>366167</v>
      </c>
      <c r="H383" s="18" t="str">
        <f t="shared" si="15"/>
        <v/>
      </c>
      <c r="I383" s="22" t="str">
        <f t="shared" si="16"/>
        <v/>
      </c>
      <c r="J383" s="20" t="str">
        <f>IF(I383="", "", COUNT($I$12:$I383))</f>
        <v/>
      </c>
      <c r="K383" s="28" t="s">
        <v>401</v>
      </c>
    </row>
    <row r="384" spans="3:11" ht="13.5" customHeight="1" x14ac:dyDescent="0.4">
      <c r="C384" s="26">
        <v>2</v>
      </c>
      <c r="D384" s="26" t="s">
        <v>24</v>
      </c>
      <c r="E384" s="26">
        <v>78</v>
      </c>
      <c r="F384" s="26">
        <v>1474</v>
      </c>
      <c r="G384" s="22">
        <f t="shared" si="17"/>
        <v>367641</v>
      </c>
      <c r="H384" s="18" t="str">
        <f t="shared" si="15"/>
        <v/>
      </c>
      <c r="I384" s="22" t="str">
        <f t="shared" si="16"/>
        <v/>
      </c>
      <c r="J384" s="20" t="str">
        <f>IF(I384="", "", COUNT($I$12:$I384))</f>
        <v/>
      </c>
      <c r="K384" s="28" t="s">
        <v>402</v>
      </c>
    </row>
    <row r="385" spans="3:11" ht="13.5" customHeight="1" x14ac:dyDescent="0.4">
      <c r="C385" s="26">
        <v>2</v>
      </c>
      <c r="D385" s="26" t="s">
        <v>24</v>
      </c>
      <c r="E385" s="26">
        <v>79</v>
      </c>
      <c r="F385" s="26">
        <v>1487</v>
      </c>
      <c r="G385" s="22">
        <f t="shared" si="17"/>
        <v>369128</v>
      </c>
      <c r="H385" s="18" t="str">
        <f t="shared" si="15"/>
        <v/>
      </c>
      <c r="I385" s="22" t="str">
        <f t="shared" si="16"/>
        <v/>
      </c>
      <c r="J385" s="20" t="str">
        <f>IF(I385="", "", COUNT($I$12:$I385))</f>
        <v/>
      </c>
      <c r="K385" s="28" t="s">
        <v>403</v>
      </c>
    </row>
    <row r="386" spans="3:11" ht="13.5" customHeight="1" x14ac:dyDescent="0.4">
      <c r="C386" s="26">
        <v>2</v>
      </c>
      <c r="D386" s="26" t="s">
        <v>24</v>
      </c>
      <c r="E386" s="26">
        <v>80</v>
      </c>
      <c r="F386" s="26">
        <v>1317</v>
      </c>
      <c r="G386" s="22">
        <f t="shared" si="17"/>
        <v>370445</v>
      </c>
      <c r="H386" s="18">
        <f t="shared" si="15"/>
        <v>370400.06451612897</v>
      </c>
      <c r="I386" s="22">
        <f t="shared" si="16"/>
        <v>1272.0645161289722</v>
      </c>
      <c r="J386" s="20">
        <f>IF(I386="", "", COUNT($I$12:$I386))</f>
        <v>39</v>
      </c>
      <c r="K386" s="28" t="s">
        <v>404</v>
      </c>
    </row>
    <row r="387" spans="3:11" ht="13.5" customHeight="1" x14ac:dyDescent="0.4">
      <c r="C387" s="26">
        <v>2</v>
      </c>
      <c r="D387" s="26" t="s">
        <v>24</v>
      </c>
      <c r="E387" s="26">
        <v>81</v>
      </c>
      <c r="F387" s="26">
        <v>1174</v>
      </c>
      <c r="G387" s="22">
        <f t="shared" si="17"/>
        <v>371619</v>
      </c>
      <c r="H387" s="18" t="str">
        <f t="shared" si="15"/>
        <v/>
      </c>
      <c r="I387" s="22" t="str">
        <f t="shared" si="16"/>
        <v/>
      </c>
      <c r="J387" s="20" t="str">
        <f>IF(I387="", "", COUNT($I$12:$I387))</f>
        <v/>
      </c>
      <c r="K387" s="28" t="s">
        <v>405</v>
      </c>
    </row>
    <row r="388" spans="3:11" ht="13.5" customHeight="1" x14ac:dyDescent="0.4">
      <c r="C388" s="26">
        <v>2</v>
      </c>
      <c r="D388" s="26" t="s">
        <v>24</v>
      </c>
      <c r="E388" s="26">
        <v>82</v>
      </c>
      <c r="F388" s="26">
        <v>1075</v>
      </c>
      <c r="G388" s="22">
        <f t="shared" si="17"/>
        <v>372694</v>
      </c>
      <c r="H388" s="18" t="str">
        <f t="shared" si="15"/>
        <v/>
      </c>
      <c r="I388" s="22" t="str">
        <f t="shared" si="16"/>
        <v/>
      </c>
      <c r="J388" s="20" t="str">
        <f>IF(I388="", "", COUNT($I$12:$I388))</f>
        <v/>
      </c>
      <c r="K388" s="28" t="s">
        <v>406</v>
      </c>
    </row>
    <row r="389" spans="3:11" ht="13.5" customHeight="1" x14ac:dyDescent="0.4">
      <c r="C389" s="26">
        <v>2</v>
      </c>
      <c r="D389" s="26" t="s">
        <v>24</v>
      </c>
      <c r="E389" s="26">
        <v>83</v>
      </c>
      <c r="F389" s="26">
        <v>1303</v>
      </c>
      <c r="G389" s="22">
        <f t="shared" si="17"/>
        <v>373997</v>
      </c>
      <c r="H389" s="18" t="str">
        <f t="shared" si="15"/>
        <v/>
      </c>
      <c r="I389" s="22" t="str">
        <f t="shared" si="16"/>
        <v/>
      </c>
      <c r="J389" s="20" t="str">
        <f>IF(I389="", "", COUNT($I$12:$I389))</f>
        <v/>
      </c>
      <c r="K389" s="28" t="s">
        <v>407</v>
      </c>
    </row>
    <row r="390" spans="3:11" ht="13.5" customHeight="1" x14ac:dyDescent="0.4">
      <c r="C390" s="26">
        <v>2</v>
      </c>
      <c r="D390" s="26" t="s">
        <v>24</v>
      </c>
      <c r="E390" s="26">
        <v>84</v>
      </c>
      <c r="F390" s="26">
        <v>1231</v>
      </c>
      <c r="G390" s="22">
        <f t="shared" si="17"/>
        <v>375228</v>
      </c>
      <c r="H390" s="18" t="str">
        <f t="shared" si="15"/>
        <v/>
      </c>
      <c r="I390" s="22" t="str">
        <f t="shared" si="16"/>
        <v/>
      </c>
      <c r="J390" s="20" t="str">
        <f>IF(I390="", "", COUNT($I$12:$I390))</f>
        <v/>
      </c>
      <c r="K390" s="28" t="s">
        <v>408</v>
      </c>
    </row>
    <row r="391" spans="3:11" ht="13.5" customHeight="1" x14ac:dyDescent="0.4">
      <c r="C391" s="26">
        <v>2</v>
      </c>
      <c r="D391" s="26" t="s">
        <v>24</v>
      </c>
      <c r="E391" s="26">
        <v>85</v>
      </c>
      <c r="F391" s="26">
        <v>1114</v>
      </c>
      <c r="G391" s="22">
        <f t="shared" si="17"/>
        <v>376342</v>
      </c>
      <c r="H391" s="18" t="str">
        <f t="shared" si="15"/>
        <v/>
      </c>
      <c r="I391" s="22" t="str">
        <f t="shared" si="16"/>
        <v/>
      </c>
      <c r="J391" s="20" t="str">
        <f>IF(I391="", "", COUNT($I$12:$I391))</f>
        <v/>
      </c>
      <c r="K391" s="28" t="s">
        <v>409</v>
      </c>
    </row>
    <row r="392" spans="3:11" ht="13.5" customHeight="1" x14ac:dyDescent="0.4">
      <c r="C392" s="26">
        <v>2</v>
      </c>
      <c r="D392" s="26" t="s">
        <v>24</v>
      </c>
      <c r="E392" s="26">
        <v>86</v>
      </c>
      <c r="F392" s="26">
        <v>1185</v>
      </c>
      <c r="G392" s="22">
        <f t="shared" si="17"/>
        <v>377527</v>
      </c>
      <c r="H392" s="18" t="str">
        <f t="shared" si="15"/>
        <v/>
      </c>
      <c r="I392" s="22" t="str">
        <f t="shared" si="16"/>
        <v/>
      </c>
      <c r="J392" s="20" t="str">
        <f>IF(I392="", "", COUNT($I$12:$I392))</f>
        <v/>
      </c>
      <c r="K392" s="28" t="s">
        <v>410</v>
      </c>
    </row>
    <row r="393" spans="3:11" ht="13.5" customHeight="1" x14ac:dyDescent="0.4">
      <c r="C393" s="26">
        <v>2</v>
      </c>
      <c r="D393" s="26" t="s">
        <v>24</v>
      </c>
      <c r="E393" s="26">
        <v>87</v>
      </c>
      <c r="F393" s="26">
        <v>1179</v>
      </c>
      <c r="G393" s="22">
        <f t="shared" si="17"/>
        <v>378706</v>
      </c>
      <c r="H393" s="18" t="str">
        <f t="shared" si="15"/>
        <v/>
      </c>
      <c r="I393" s="22" t="str">
        <f t="shared" si="16"/>
        <v/>
      </c>
      <c r="J393" s="20" t="str">
        <f>IF(I393="", "", COUNT($I$12:$I393))</f>
        <v/>
      </c>
      <c r="K393" s="28" t="s">
        <v>411</v>
      </c>
    </row>
    <row r="394" spans="3:11" ht="13.5" customHeight="1" x14ac:dyDescent="0.4">
      <c r="C394" s="26">
        <v>2</v>
      </c>
      <c r="D394" s="26" t="s">
        <v>24</v>
      </c>
      <c r="E394" s="26">
        <v>88</v>
      </c>
      <c r="F394" s="26">
        <v>1291</v>
      </c>
      <c r="G394" s="22">
        <f t="shared" si="17"/>
        <v>379997</v>
      </c>
      <c r="H394" s="18">
        <f t="shared" si="15"/>
        <v>379896.98924731178</v>
      </c>
      <c r="I394" s="22">
        <f t="shared" si="16"/>
        <v>1190.9892473117798</v>
      </c>
      <c r="J394" s="20">
        <f>IF(I394="", "", COUNT($I$12:$I394))</f>
        <v>40</v>
      </c>
      <c r="K394" s="28" t="s">
        <v>412</v>
      </c>
    </row>
    <row r="395" spans="3:11" ht="13.5" customHeight="1" x14ac:dyDescent="0.4">
      <c r="C395" s="26">
        <v>2</v>
      </c>
      <c r="D395" s="26" t="s">
        <v>24</v>
      </c>
      <c r="E395" s="26">
        <v>89</v>
      </c>
      <c r="F395" s="26">
        <v>1404</v>
      </c>
      <c r="G395" s="22">
        <f t="shared" si="17"/>
        <v>381401</v>
      </c>
      <c r="H395" s="18" t="str">
        <f t="shared" si="15"/>
        <v/>
      </c>
      <c r="I395" s="22" t="str">
        <f t="shared" si="16"/>
        <v/>
      </c>
      <c r="J395" s="20" t="str">
        <f>IF(I395="", "", COUNT($I$12:$I395))</f>
        <v/>
      </c>
      <c r="K395" s="28" t="s">
        <v>413</v>
      </c>
    </row>
    <row r="396" spans="3:11" ht="13.5" customHeight="1" x14ac:dyDescent="0.4">
      <c r="C396" s="26">
        <v>2</v>
      </c>
      <c r="D396" s="26" t="s">
        <v>24</v>
      </c>
      <c r="E396" s="26">
        <v>90</v>
      </c>
      <c r="F396" s="26">
        <v>1232</v>
      </c>
      <c r="G396" s="22">
        <f t="shared" si="17"/>
        <v>382633</v>
      </c>
      <c r="H396" s="18" t="str">
        <f t="shared" ref="H396:H459" si="18">IF(AND(G396 &gt;= ($D$5 + ($C$5 * (INT((G396 - $D$5)/$C$5)))), G395 &lt; ($D$5 + ($C$5 * (INT((G396 - $D$5)/$C$5))))), $D$5 + ($C$5 * INT((G396 - $D$5)/$C$5)), "")</f>
        <v/>
      </c>
      <c r="I396" s="22" t="str">
        <f t="shared" ref="I396:I459" si="19">IFERROR(H396-G395, "")</f>
        <v/>
      </c>
      <c r="J396" s="20" t="str">
        <f>IF(I396="", "", COUNT($I$12:$I396))</f>
        <v/>
      </c>
      <c r="K396" s="28" t="s">
        <v>414</v>
      </c>
    </row>
    <row r="397" spans="3:11" ht="13.5" customHeight="1" x14ac:dyDescent="0.4">
      <c r="C397" s="26">
        <v>2</v>
      </c>
      <c r="D397" s="26" t="s">
        <v>24</v>
      </c>
      <c r="E397" s="26">
        <v>91</v>
      </c>
      <c r="F397" s="26">
        <v>1286</v>
      </c>
      <c r="G397" s="22">
        <f t="shared" si="17"/>
        <v>383919</v>
      </c>
      <c r="H397" s="18" t="str">
        <f t="shared" si="18"/>
        <v/>
      </c>
      <c r="I397" s="22" t="str">
        <f t="shared" si="19"/>
        <v/>
      </c>
      <c r="J397" s="20" t="str">
        <f>IF(I397="", "", COUNT($I$12:$I397))</f>
        <v/>
      </c>
      <c r="K397" s="28" t="s">
        <v>415</v>
      </c>
    </row>
    <row r="398" spans="3:11" ht="13.5" customHeight="1" x14ac:dyDescent="0.4">
      <c r="C398" s="26">
        <v>2</v>
      </c>
      <c r="D398" s="26" t="s">
        <v>24</v>
      </c>
      <c r="E398" s="26">
        <v>92</v>
      </c>
      <c r="F398" s="26">
        <v>1480</v>
      </c>
      <c r="G398" s="22">
        <f t="shared" ref="G398:G461" si="20">G397+F398</f>
        <v>385399</v>
      </c>
      <c r="H398" s="18" t="str">
        <f t="shared" si="18"/>
        <v/>
      </c>
      <c r="I398" s="22" t="str">
        <f t="shared" si="19"/>
        <v/>
      </c>
      <c r="J398" s="20" t="str">
        <f>IF(I398="", "", COUNT($I$12:$I398))</f>
        <v/>
      </c>
      <c r="K398" s="28" t="s">
        <v>416</v>
      </c>
    </row>
    <row r="399" spans="3:11" ht="13.5" customHeight="1" x14ac:dyDescent="0.4">
      <c r="C399" s="26">
        <v>2</v>
      </c>
      <c r="D399" s="26" t="s">
        <v>24</v>
      </c>
      <c r="E399" s="26">
        <v>93</v>
      </c>
      <c r="F399" s="26">
        <v>1422</v>
      </c>
      <c r="G399" s="22">
        <f t="shared" si="20"/>
        <v>386821</v>
      </c>
      <c r="H399" s="18" t="str">
        <f t="shared" si="18"/>
        <v/>
      </c>
      <c r="I399" s="22" t="str">
        <f t="shared" si="19"/>
        <v/>
      </c>
      <c r="J399" s="20" t="str">
        <f>IF(I399="", "", COUNT($I$12:$I399))</f>
        <v/>
      </c>
      <c r="K399" s="28" t="s">
        <v>417</v>
      </c>
    </row>
    <row r="400" spans="3:11" ht="13.5" customHeight="1" x14ac:dyDescent="0.4">
      <c r="C400" s="26">
        <v>2</v>
      </c>
      <c r="D400" s="26" t="s">
        <v>24</v>
      </c>
      <c r="E400" s="26">
        <v>94</v>
      </c>
      <c r="F400" s="26">
        <v>1469</v>
      </c>
      <c r="G400" s="22">
        <f t="shared" si="20"/>
        <v>388290</v>
      </c>
      <c r="H400" s="18" t="str">
        <f t="shared" si="18"/>
        <v/>
      </c>
      <c r="I400" s="22" t="str">
        <f t="shared" si="19"/>
        <v/>
      </c>
      <c r="J400" s="20" t="str">
        <f>IF(I400="", "", COUNT($I$12:$I400))</f>
        <v/>
      </c>
      <c r="K400" s="28" t="s">
        <v>418</v>
      </c>
    </row>
    <row r="401" spans="3:11" ht="13.5" customHeight="1" x14ac:dyDescent="0.4">
      <c r="C401" s="26">
        <v>2</v>
      </c>
      <c r="D401" s="26" t="s">
        <v>24</v>
      </c>
      <c r="E401" s="26">
        <v>95</v>
      </c>
      <c r="F401" s="26">
        <v>1515</v>
      </c>
      <c r="G401" s="22">
        <f t="shared" si="20"/>
        <v>389805</v>
      </c>
      <c r="H401" s="18">
        <f t="shared" si="18"/>
        <v>389393.91397849459</v>
      </c>
      <c r="I401" s="22">
        <f t="shared" si="19"/>
        <v>1103.9139784945874</v>
      </c>
      <c r="J401" s="20">
        <f>IF(I401="", "", COUNT($I$12:$I401))</f>
        <v>41</v>
      </c>
      <c r="K401" s="28" t="s">
        <v>419</v>
      </c>
    </row>
    <row r="402" spans="3:11" ht="13.5" customHeight="1" x14ac:dyDescent="0.4">
      <c r="C402" s="26">
        <v>2</v>
      </c>
      <c r="D402" s="26" t="s">
        <v>24</v>
      </c>
      <c r="E402" s="26">
        <v>96</v>
      </c>
      <c r="F402" s="26">
        <v>1527</v>
      </c>
      <c r="G402" s="22">
        <f t="shared" si="20"/>
        <v>391332</v>
      </c>
      <c r="H402" s="18" t="str">
        <f t="shared" si="18"/>
        <v/>
      </c>
      <c r="I402" s="22" t="str">
        <f t="shared" si="19"/>
        <v/>
      </c>
      <c r="J402" s="20" t="str">
        <f>IF(I402="", "", COUNT($I$12:$I402))</f>
        <v/>
      </c>
      <c r="K402" s="28" t="s">
        <v>420</v>
      </c>
    </row>
    <row r="403" spans="3:11" ht="13.5" customHeight="1" x14ac:dyDescent="0.4">
      <c r="C403" s="26">
        <v>2</v>
      </c>
      <c r="D403" s="26" t="s">
        <v>24</v>
      </c>
      <c r="E403" s="26">
        <v>97</v>
      </c>
      <c r="F403" s="26">
        <v>1514</v>
      </c>
      <c r="G403" s="22">
        <f t="shared" si="20"/>
        <v>392846</v>
      </c>
      <c r="H403" s="18" t="str">
        <f t="shared" si="18"/>
        <v/>
      </c>
      <c r="I403" s="22" t="str">
        <f t="shared" si="19"/>
        <v/>
      </c>
      <c r="J403" s="20" t="str">
        <f>IF(I403="", "", COUNT($I$12:$I403))</f>
        <v/>
      </c>
      <c r="K403" s="28" t="s">
        <v>421</v>
      </c>
    </row>
    <row r="404" spans="3:11" ht="13.5" customHeight="1" x14ac:dyDescent="0.4">
      <c r="C404" s="26">
        <v>2</v>
      </c>
      <c r="D404" s="26" t="s">
        <v>24</v>
      </c>
      <c r="E404" s="26">
        <v>98</v>
      </c>
      <c r="F404" s="26">
        <v>1503</v>
      </c>
      <c r="G404" s="22">
        <f t="shared" si="20"/>
        <v>394349</v>
      </c>
      <c r="H404" s="18" t="str">
        <f t="shared" si="18"/>
        <v/>
      </c>
      <c r="I404" s="22" t="str">
        <f t="shared" si="19"/>
        <v/>
      </c>
      <c r="J404" s="20" t="str">
        <f>IF(I404="", "", COUNT($I$12:$I404))</f>
        <v/>
      </c>
      <c r="K404" s="28" t="s">
        <v>422</v>
      </c>
    </row>
    <row r="405" spans="3:11" ht="13.5" customHeight="1" x14ac:dyDescent="0.4">
      <c r="C405" s="26">
        <v>2</v>
      </c>
      <c r="D405" s="26" t="s">
        <v>24</v>
      </c>
      <c r="E405" s="26">
        <v>99</v>
      </c>
      <c r="F405" s="26">
        <v>1505</v>
      </c>
      <c r="G405" s="22">
        <f t="shared" si="20"/>
        <v>395854</v>
      </c>
      <c r="H405" s="18" t="str">
        <f t="shared" si="18"/>
        <v/>
      </c>
      <c r="I405" s="22" t="str">
        <f t="shared" si="19"/>
        <v/>
      </c>
      <c r="J405" s="20" t="str">
        <f>IF(I405="", "", COUNT($I$12:$I405))</f>
        <v/>
      </c>
      <c r="K405" s="28" t="s">
        <v>423</v>
      </c>
    </row>
    <row r="406" spans="3:11" ht="13.5" customHeight="1" x14ac:dyDescent="0.4">
      <c r="C406" s="26">
        <v>2</v>
      </c>
      <c r="D406" s="26" t="s">
        <v>24</v>
      </c>
      <c r="E406" s="26">
        <v>100</v>
      </c>
      <c r="F406" s="26">
        <v>1544</v>
      </c>
      <c r="G406" s="22">
        <f t="shared" si="20"/>
        <v>397398</v>
      </c>
      <c r="H406" s="18" t="str">
        <f t="shared" si="18"/>
        <v/>
      </c>
      <c r="I406" s="22" t="str">
        <f t="shared" si="19"/>
        <v/>
      </c>
      <c r="J406" s="20" t="str">
        <f>IF(I406="", "", COUNT($I$12:$I406))</f>
        <v/>
      </c>
      <c r="K406" s="28" t="s">
        <v>424</v>
      </c>
    </row>
    <row r="407" spans="3:11" ht="13.5" customHeight="1" x14ac:dyDescent="0.4">
      <c r="C407" s="26">
        <v>2</v>
      </c>
      <c r="D407" s="26" t="s">
        <v>24</v>
      </c>
      <c r="E407" s="26">
        <v>101</v>
      </c>
      <c r="F407" s="26">
        <v>1159</v>
      </c>
      <c r="G407" s="22">
        <f t="shared" si="20"/>
        <v>398557</v>
      </c>
      <c r="H407" s="18" t="str">
        <f t="shared" si="18"/>
        <v/>
      </c>
      <c r="I407" s="22" t="str">
        <f t="shared" si="19"/>
        <v/>
      </c>
      <c r="J407" s="20" t="str">
        <f>IF(I407="", "", COUNT($I$12:$I407))</f>
        <v/>
      </c>
      <c r="K407" s="28" t="s">
        <v>425</v>
      </c>
    </row>
    <row r="408" spans="3:11" ht="13.5" customHeight="1" x14ac:dyDescent="0.4">
      <c r="C408" s="26">
        <v>2</v>
      </c>
      <c r="D408" s="26" t="s">
        <v>24</v>
      </c>
      <c r="E408" s="26">
        <v>102</v>
      </c>
      <c r="F408" s="26">
        <v>1020</v>
      </c>
      <c r="G408" s="22">
        <f t="shared" si="20"/>
        <v>399577</v>
      </c>
      <c r="H408" s="18">
        <f t="shared" si="18"/>
        <v>398890.83870967739</v>
      </c>
      <c r="I408" s="22">
        <f t="shared" si="19"/>
        <v>333.83870967739495</v>
      </c>
      <c r="J408" s="20">
        <f>IF(I408="", "", COUNT($I$12:$I408))</f>
        <v>42</v>
      </c>
      <c r="K408" s="28" t="s">
        <v>426</v>
      </c>
    </row>
    <row r="409" spans="3:11" ht="13.5" customHeight="1" x14ac:dyDescent="0.4">
      <c r="C409" s="26">
        <v>2</v>
      </c>
      <c r="D409" s="26" t="s">
        <v>24</v>
      </c>
      <c r="E409" s="26">
        <v>103</v>
      </c>
      <c r="F409" s="26">
        <v>1393</v>
      </c>
      <c r="G409" s="22">
        <f t="shared" si="20"/>
        <v>400970</v>
      </c>
      <c r="H409" s="18" t="str">
        <f t="shared" si="18"/>
        <v/>
      </c>
      <c r="I409" s="22" t="str">
        <f t="shared" si="19"/>
        <v/>
      </c>
      <c r="J409" s="20" t="str">
        <f>IF(I409="", "", COUNT($I$12:$I409))</f>
        <v/>
      </c>
      <c r="K409" s="28" t="s">
        <v>427</v>
      </c>
    </row>
    <row r="410" spans="3:11" ht="13.5" customHeight="1" x14ac:dyDescent="0.4">
      <c r="C410" s="26">
        <v>2</v>
      </c>
      <c r="D410" s="26" t="s">
        <v>24</v>
      </c>
      <c r="E410" s="26">
        <v>104</v>
      </c>
      <c r="F410" s="26">
        <v>1073</v>
      </c>
      <c r="G410" s="22">
        <f t="shared" si="20"/>
        <v>402043</v>
      </c>
      <c r="H410" s="18" t="str">
        <f t="shared" si="18"/>
        <v/>
      </c>
      <c r="I410" s="22" t="str">
        <f t="shared" si="19"/>
        <v/>
      </c>
      <c r="J410" s="20" t="str">
        <f>IF(I410="", "", COUNT($I$12:$I410))</f>
        <v/>
      </c>
      <c r="K410" s="28" t="s">
        <v>428</v>
      </c>
    </row>
    <row r="411" spans="3:11" ht="13.5" customHeight="1" x14ac:dyDescent="0.4">
      <c r="C411" s="26">
        <v>2</v>
      </c>
      <c r="D411" s="26" t="s">
        <v>24</v>
      </c>
      <c r="E411" s="26">
        <v>105</v>
      </c>
      <c r="F411" s="26">
        <v>1498</v>
      </c>
      <c r="G411" s="22">
        <f t="shared" si="20"/>
        <v>403541</v>
      </c>
      <c r="H411" s="18" t="str">
        <f t="shared" si="18"/>
        <v/>
      </c>
      <c r="I411" s="22" t="str">
        <f t="shared" si="19"/>
        <v/>
      </c>
      <c r="J411" s="20" t="str">
        <f>IF(I411="", "", COUNT($I$12:$I411))</f>
        <v/>
      </c>
      <c r="K411" s="28" t="s">
        <v>429</v>
      </c>
    </row>
    <row r="412" spans="3:11" ht="13.5" customHeight="1" x14ac:dyDescent="0.4">
      <c r="C412" s="26">
        <v>2</v>
      </c>
      <c r="D412" s="26" t="s">
        <v>24</v>
      </c>
      <c r="E412" s="26">
        <v>106</v>
      </c>
      <c r="F412" s="26">
        <v>1228</v>
      </c>
      <c r="G412" s="22">
        <f t="shared" si="20"/>
        <v>404769</v>
      </c>
      <c r="H412" s="18" t="str">
        <f t="shared" si="18"/>
        <v/>
      </c>
      <c r="I412" s="22" t="str">
        <f t="shared" si="19"/>
        <v/>
      </c>
      <c r="J412" s="20" t="str">
        <f>IF(I412="", "", COUNT($I$12:$I412))</f>
        <v/>
      </c>
      <c r="K412" s="28" t="s">
        <v>430</v>
      </c>
    </row>
    <row r="413" spans="3:11" ht="13.5" customHeight="1" x14ac:dyDescent="0.4">
      <c r="C413" s="26">
        <v>2</v>
      </c>
      <c r="D413" s="26" t="s">
        <v>24</v>
      </c>
      <c r="E413" s="26">
        <v>107</v>
      </c>
      <c r="F413" s="26">
        <v>1051</v>
      </c>
      <c r="G413" s="22">
        <f t="shared" si="20"/>
        <v>405820</v>
      </c>
      <c r="H413" s="18" t="str">
        <f t="shared" si="18"/>
        <v/>
      </c>
      <c r="I413" s="22" t="str">
        <f t="shared" si="19"/>
        <v/>
      </c>
      <c r="J413" s="20" t="str">
        <f>IF(I413="", "", COUNT($I$12:$I413))</f>
        <v/>
      </c>
      <c r="K413" s="28" t="s">
        <v>431</v>
      </c>
    </row>
    <row r="414" spans="3:11" ht="13.5" customHeight="1" x14ac:dyDescent="0.4">
      <c r="C414" s="26">
        <v>2</v>
      </c>
      <c r="D414" s="26" t="s">
        <v>24</v>
      </c>
      <c r="E414" s="26">
        <v>108</v>
      </c>
      <c r="F414" s="26">
        <v>1222</v>
      </c>
      <c r="G414" s="22">
        <f t="shared" si="20"/>
        <v>407042</v>
      </c>
      <c r="H414" s="18" t="str">
        <f t="shared" si="18"/>
        <v/>
      </c>
      <c r="I414" s="22" t="str">
        <f t="shared" si="19"/>
        <v/>
      </c>
      <c r="J414" s="20" t="str">
        <f>IF(I414="", "", COUNT($I$12:$I414))</f>
        <v/>
      </c>
      <c r="K414" s="28" t="s">
        <v>432</v>
      </c>
    </row>
    <row r="415" spans="3:11" ht="13.5" customHeight="1" x14ac:dyDescent="0.4">
      <c r="C415" s="26">
        <v>2</v>
      </c>
      <c r="D415" s="26" t="s">
        <v>24</v>
      </c>
      <c r="E415" s="26">
        <v>109</v>
      </c>
      <c r="F415" s="26">
        <v>1301</v>
      </c>
      <c r="G415" s="22">
        <f t="shared" si="20"/>
        <v>408343</v>
      </c>
      <c r="H415" s="18" t="str">
        <f t="shared" si="18"/>
        <v/>
      </c>
      <c r="I415" s="22" t="str">
        <f t="shared" si="19"/>
        <v/>
      </c>
      <c r="J415" s="20" t="str">
        <f>IF(I415="", "", COUNT($I$12:$I415))</f>
        <v/>
      </c>
      <c r="K415" s="28" t="s">
        <v>433</v>
      </c>
    </row>
    <row r="416" spans="3:11" ht="13.5" customHeight="1" x14ac:dyDescent="0.4">
      <c r="C416" s="26">
        <v>2</v>
      </c>
      <c r="D416" s="26" t="s">
        <v>24</v>
      </c>
      <c r="E416" s="26">
        <v>110</v>
      </c>
      <c r="F416" s="26">
        <v>1323</v>
      </c>
      <c r="G416" s="22">
        <f t="shared" si="20"/>
        <v>409666</v>
      </c>
      <c r="H416" s="18">
        <f t="shared" si="18"/>
        <v>408387.7634408602</v>
      </c>
      <c r="I416" s="22">
        <f t="shared" si="19"/>
        <v>44.763440860202536</v>
      </c>
      <c r="J416" s="20">
        <f>IF(I416="", "", COUNT($I$12:$I416))</f>
        <v>43</v>
      </c>
      <c r="K416" s="28" t="s">
        <v>434</v>
      </c>
    </row>
    <row r="417" spans="3:11" ht="13.5" customHeight="1" x14ac:dyDescent="0.4">
      <c r="C417" s="26">
        <v>2</v>
      </c>
      <c r="D417" s="26" t="s">
        <v>24</v>
      </c>
      <c r="E417" s="26">
        <v>111</v>
      </c>
      <c r="F417" s="26">
        <v>1155</v>
      </c>
      <c r="G417" s="22">
        <f t="shared" si="20"/>
        <v>410821</v>
      </c>
      <c r="H417" s="18" t="str">
        <f t="shared" si="18"/>
        <v/>
      </c>
      <c r="I417" s="22" t="str">
        <f t="shared" si="19"/>
        <v/>
      </c>
      <c r="J417" s="20" t="str">
        <f>IF(I417="", "", COUNT($I$12:$I417))</f>
        <v/>
      </c>
      <c r="K417" s="28" t="s">
        <v>435</v>
      </c>
    </row>
    <row r="418" spans="3:11" ht="13.5" customHeight="1" x14ac:dyDescent="0.4">
      <c r="C418" s="26">
        <v>2</v>
      </c>
      <c r="D418" s="26" t="s">
        <v>24</v>
      </c>
      <c r="E418" s="26">
        <v>112</v>
      </c>
      <c r="F418" s="26">
        <v>1144</v>
      </c>
      <c r="G418" s="22">
        <f t="shared" si="20"/>
        <v>411965</v>
      </c>
      <c r="H418" s="18" t="str">
        <f t="shared" si="18"/>
        <v/>
      </c>
      <c r="I418" s="22" t="str">
        <f t="shared" si="19"/>
        <v/>
      </c>
      <c r="J418" s="20" t="str">
        <f>IF(I418="", "", COUNT($I$12:$I418))</f>
        <v/>
      </c>
      <c r="K418" s="28" t="s">
        <v>436</v>
      </c>
    </row>
    <row r="419" spans="3:11" ht="13.5" customHeight="1" x14ac:dyDescent="0.4">
      <c r="C419" s="26">
        <v>2</v>
      </c>
      <c r="D419" s="26" t="s">
        <v>24</v>
      </c>
      <c r="E419" s="26">
        <v>113</v>
      </c>
      <c r="F419" s="26">
        <v>1474</v>
      </c>
      <c r="G419" s="22">
        <f t="shared" si="20"/>
        <v>413439</v>
      </c>
      <c r="H419" s="18" t="str">
        <f t="shared" si="18"/>
        <v/>
      </c>
      <c r="I419" s="22" t="str">
        <f t="shared" si="19"/>
        <v/>
      </c>
      <c r="J419" s="20" t="str">
        <f>IF(I419="", "", COUNT($I$12:$I419))</f>
        <v/>
      </c>
      <c r="K419" s="28" t="s">
        <v>437</v>
      </c>
    </row>
    <row r="420" spans="3:11" ht="13.5" customHeight="1" x14ac:dyDescent="0.4">
      <c r="C420" s="26">
        <v>2</v>
      </c>
      <c r="D420" s="26" t="s">
        <v>24</v>
      </c>
      <c r="E420" s="26">
        <v>114</v>
      </c>
      <c r="F420" s="26">
        <v>871</v>
      </c>
      <c r="G420" s="22">
        <f t="shared" si="20"/>
        <v>414310</v>
      </c>
      <c r="H420" s="18" t="str">
        <f t="shared" si="18"/>
        <v/>
      </c>
      <c r="I420" s="22" t="str">
        <f t="shared" si="19"/>
        <v/>
      </c>
      <c r="J420" s="20" t="str">
        <f>IF(I420="", "", COUNT($I$12:$I420))</f>
        <v/>
      </c>
      <c r="K420" s="28" t="s">
        <v>438</v>
      </c>
    </row>
    <row r="421" spans="3:11" ht="13.5" customHeight="1" x14ac:dyDescent="0.4">
      <c r="C421" s="26">
        <v>2</v>
      </c>
      <c r="D421" s="26" t="s">
        <v>24</v>
      </c>
      <c r="E421" s="26">
        <v>115</v>
      </c>
      <c r="F421" s="26">
        <v>1311</v>
      </c>
      <c r="G421" s="22">
        <f t="shared" si="20"/>
        <v>415621</v>
      </c>
      <c r="H421" s="18" t="str">
        <f t="shared" si="18"/>
        <v/>
      </c>
      <c r="I421" s="22" t="str">
        <f t="shared" si="19"/>
        <v/>
      </c>
      <c r="J421" s="20" t="str">
        <f>IF(I421="", "", COUNT($I$12:$I421))</f>
        <v/>
      </c>
      <c r="K421" s="28" t="s">
        <v>439</v>
      </c>
    </row>
    <row r="422" spans="3:11" ht="13.5" customHeight="1" x14ac:dyDescent="0.4">
      <c r="C422" s="26">
        <v>2</v>
      </c>
      <c r="D422" s="26" t="s">
        <v>24</v>
      </c>
      <c r="E422" s="26">
        <v>116</v>
      </c>
      <c r="F422" s="26">
        <v>962</v>
      </c>
      <c r="G422" s="22">
        <f t="shared" si="20"/>
        <v>416583</v>
      </c>
      <c r="H422" s="18" t="str">
        <f t="shared" si="18"/>
        <v/>
      </c>
      <c r="I422" s="22" t="str">
        <f t="shared" si="19"/>
        <v/>
      </c>
      <c r="J422" s="20" t="str">
        <f>IF(I422="", "", COUNT($I$12:$I422))</f>
        <v/>
      </c>
      <c r="K422" s="28" t="s">
        <v>440</v>
      </c>
    </row>
    <row r="423" spans="3:11" ht="13.5" customHeight="1" x14ac:dyDescent="0.4">
      <c r="C423" s="26">
        <v>2</v>
      </c>
      <c r="D423" s="26" t="s">
        <v>24</v>
      </c>
      <c r="E423" s="26">
        <v>117</v>
      </c>
      <c r="F423" s="26">
        <v>1184</v>
      </c>
      <c r="G423" s="22">
        <f t="shared" si="20"/>
        <v>417767</v>
      </c>
      <c r="H423" s="18" t="str">
        <f t="shared" si="18"/>
        <v/>
      </c>
      <c r="I423" s="22" t="str">
        <f t="shared" si="19"/>
        <v/>
      </c>
      <c r="J423" s="20" t="str">
        <f>IF(I423="", "", COUNT($I$12:$I423))</f>
        <v/>
      </c>
      <c r="K423" s="28" t="s">
        <v>441</v>
      </c>
    </row>
    <row r="424" spans="3:11" ht="13.5" customHeight="1" x14ac:dyDescent="0.4">
      <c r="C424" s="26">
        <v>2</v>
      </c>
      <c r="D424" s="26" t="s">
        <v>24</v>
      </c>
      <c r="E424" s="26">
        <v>118</v>
      </c>
      <c r="F424" s="26">
        <v>1460</v>
      </c>
      <c r="G424" s="22">
        <f t="shared" si="20"/>
        <v>419227</v>
      </c>
      <c r="H424" s="18">
        <f t="shared" si="18"/>
        <v>417884.68817204295</v>
      </c>
      <c r="I424" s="22">
        <f t="shared" si="19"/>
        <v>117.68817204295192</v>
      </c>
      <c r="J424" s="20">
        <f>IF(I424="", "", COUNT($I$12:$I424))</f>
        <v>44</v>
      </c>
      <c r="K424" s="28" t="s">
        <v>442</v>
      </c>
    </row>
    <row r="425" spans="3:11" ht="13.5" customHeight="1" x14ac:dyDescent="0.4">
      <c r="C425" s="26">
        <v>2</v>
      </c>
      <c r="D425" s="26" t="s">
        <v>24</v>
      </c>
      <c r="E425" s="26">
        <v>119</v>
      </c>
      <c r="F425" s="26">
        <v>1384</v>
      </c>
      <c r="G425" s="22">
        <f t="shared" si="20"/>
        <v>420611</v>
      </c>
      <c r="H425" s="18" t="str">
        <f t="shared" si="18"/>
        <v/>
      </c>
      <c r="I425" s="22" t="str">
        <f t="shared" si="19"/>
        <v/>
      </c>
      <c r="J425" s="20" t="str">
        <f>IF(I425="", "", COUNT($I$12:$I425))</f>
        <v/>
      </c>
      <c r="K425" s="28" t="s">
        <v>443</v>
      </c>
    </row>
    <row r="426" spans="3:11" ht="13.5" customHeight="1" x14ac:dyDescent="0.4">
      <c r="C426" s="26">
        <v>2</v>
      </c>
      <c r="D426" s="26" t="s">
        <v>24</v>
      </c>
      <c r="E426" s="26">
        <v>120</v>
      </c>
      <c r="F426" s="26">
        <v>741</v>
      </c>
      <c r="G426" s="22">
        <f t="shared" si="20"/>
        <v>421352</v>
      </c>
      <c r="H426" s="18" t="str">
        <f t="shared" si="18"/>
        <v/>
      </c>
      <c r="I426" s="22" t="str">
        <f t="shared" si="19"/>
        <v/>
      </c>
      <c r="J426" s="20" t="str">
        <f>IF(I426="", "", COUNT($I$12:$I426))</f>
        <v/>
      </c>
      <c r="K426" s="28" t="s">
        <v>444</v>
      </c>
    </row>
    <row r="427" spans="3:11" ht="13.5" customHeight="1" x14ac:dyDescent="0.4">
      <c r="C427" s="26">
        <v>2</v>
      </c>
      <c r="D427" s="26" t="s">
        <v>24</v>
      </c>
      <c r="E427" s="26">
        <v>121</v>
      </c>
      <c r="F427" s="26">
        <v>1478</v>
      </c>
      <c r="G427" s="22">
        <f t="shared" si="20"/>
        <v>422830</v>
      </c>
      <c r="H427" s="18" t="str">
        <f t="shared" si="18"/>
        <v/>
      </c>
      <c r="I427" s="22" t="str">
        <f t="shared" si="19"/>
        <v/>
      </c>
      <c r="J427" s="20" t="str">
        <f>IF(I427="", "", COUNT($I$12:$I427))</f>
        <v/>
      </c>
      <c r="K427" s="28" t="s">
        <v>445</v>
      </c>
    </row>
    <row r="428" spans="3:11" ht="13.5" customHeight="1" x14ac:dyDescent="0.4">
      <c r="C428" s="26">
        <v>2</v>
      </c>
      <c r="D428" s="26" t="s">
        <v>24</v>
      </c>
      <c r="E428" s="26">
        <v>122</v>
      </c>
      <c r="F428" s="26">
        <v>1486</v>
      </c>
      <c r="G428" s="22">
        <f t="shared" si="20"/>
        <v>424316</v>
      </c>
      <c r="H428" s="18" t="str">
        <f t="shared" si="18"/>
        <v/>
      </c>
      <c r="I428" s="22" t="str">
        <f t="shared" si="19"/>
        <v/>
      </c>
      <c r="J428" s="20" t="str">
        <f>IF(I428="", "", COUNT($I$12:$I428))</f>
        <v/>
      </c>
      <c r="K428" s="28" t="s">
        <v>446</v>
      </c>
    </row>
    <row r="429" spans="3:11" ht="13.5" customHeight="1" x14ac:dyDescent="0.4">
      <c r="C429" s="26">
        <v>2</v>
      </c>
      <c r="D429" s="26" t="s">
        <v>24</v>
      </c>
      <c r="E429" s="26">
        <v>123</v>
      </c>
      <c r="F429" s="26">
        <v>1497</v>
      </c>
      <c r="G429" s="22">
        <f t="shared" si="20"/>
        <v>425813</v>
      </c>
      <c r="H429" s="18" t="str">
        <f t="shared" si="18"/>
        <v/>
      </c>
      <c r="I429" s="22" t="str">
        <f t="shared" si="19"/>
        <v/>
      </c>
      <c r="J429" s="20" t="str">
        <f>IF(I429="", "", COUNT($I$12:$I429))</f>
        <v/>
      </c>
      <c r="K429" s="28" t="s">
        <v>447</v>
      </c>
    </row>
    <row r="430" spans="3:11" ht="13.5" customHeight="1" x14ac:dyDescent="0.4">
      <c r="C430" s="26">
        <v>2</v>
      </c>
      <c r="D430" s="26" t="s">
        <v>24</v>
      </c>
      <c r="E430" s="26">
        <v>124</v>
      </c>
      <c r="F430" s="26">
        <v>1482</v>
      </c>
      <c r="G430" s="22">
        <f t="shared" si="20"/>
        <v>427295</v>
      </c>
      <c r="H430" s="18" t="str">
        <f t="shared" si="18"/>
        <v/>
      </c>
      <c r="I430" s="22" t="str">
        <f t="shared" si="19"/>
        <v/>
      </c>
      <c r="J430" s="20" t="str">
        <f>IF(I430="", "", COUNT($I$12:$I430))</f>
        <v/>
      </c>
      <c r="K430" s="28" t="s">
        <v>448</v>
      </c>
    </row>
    <row r="431" spans="3:11" ht="13.5" customHeight="1" x14ac:dyDescent="0.4">
      <c r="C431" s="26">
        <v>2</v>
      </c>
      <c r="D431" s="26" t="s">
        <v>24</v>
      </c>
      <c r="E431" s="26">
        <v>125</v>
      </c>
      <c r="F431" s="26">
        <v>1526</v>
      </c>
      <c r="G431" s="22">
        <f t="shared" si="20"/>
        <v>428821</v>
      </c>
      <c r="H431" s="18">
        <f t="shared" si="18"/>
        <v>427381.61290322576</v>
      </c>
      <c r="I431" s="22">
        <f t="shared" si="19"/>
        <v>86.61290322575951</v>
      </c>
      <c r="J431" s="20">
        <f>IF(I431="", "", COUNT($I$12:$I431))</f>
        <v>45</v>
      </c>
      <c r="K431" s="28" t="s">
        <v>449</v>
      </c>
    </row>
    <row r="432" spans="3:11" ht="13.5" customHeight="1" x14ac:dyDescent="0.4">
      <c r="C432" s="26">
        <v>2</v>
      </c>
      <c r="D432" s="26" t="s">
        <v>24</v>
      </c>
      <c r="E432" s="26">
        <v>126</v>
      </c>
      <c r="F432" s="26">
        <v>1503</v>
      </c>
      <c r="G432" s="22">
        <f t="shared" si="20"/>
        <v>430324</v>
      </c>
      <c r="H432" s="18" t="str">
        <f t="shared" si="18"/>
        <v/>
      </c>
      <c r="I432" s="22" t="str">
        <f t="shared" si="19"/>
        <v/>
      </c>
      <c r="J432" s="20" t="str">
        <f>IF(I432="", "", COUNT($I$12:$I432))</f>
        <v/>
      </c>
      <c r="K432" s="28" t="s">
        <v>450</v>
      </c>
    </row>
    <row r="433" spans="3:11" ht="13.5" customHeight="1" x14ac:dyDescent="0.4">
      <c r="C433" s="26">
        <v>2</v>
      </c>
      <c r="D433" s="26" t="s">
        <v>24</v>
      </c>
      <c r="E433" s="26">
        <v>127</v>
      </c>
      <c r="F433" s="26">
        <v>1512</v>
      </c>
      <c r="G433" s="22">
        <f t="shared" si="20"/>
        <v>431836</v>
      </c>
      <c r="H433" s="18" t="str">
        <f t="shared" si="18"/>
        <v/>
      </c>
      <c r="I433" s="22" t="str">
        <f t="shared" si="19"/>
        <v/>
      </c>
      <c r="J433" s="20" t="str">
        <f>IF(I433="", "", COUNT($I$12:$I433))</f>
        <v/>
      </c>
      <c r="K433" s="28" t="s">
        <v>451</v>
      </c>
    </row>
    <row r="434" spans="3:11" ht="13.5" customHeight="1" x14ac:dyDescent="0.4">
      <c r="C434" s="26">
        <v>2</v>
      </c>
      <c r="D434" s="26" t="s">
        <v>24</v>
      </c>
      <c r="E434" s="26">
        <v>128</v>
      </c>
      <c r="F434" s="26">
        <v>1482</v>
      </c>
      <c r="G434" s="22">
        <f t="shared" si="20"/>
        <v>433318</v>
      </c>
      <c r="H434" s="18" t="str">
        <f t="shared" si="18"/>
        <v/>
      </c>
      <c r="I434" s="22" t="str">
        <f t="shared" si="19"/>
        <v/>
      </c>
      <c r="J434" s="20" t="str">
        <f>IF(I434="", "", COUNT($I$12:$I434))</f>
        <v/>
      </c>
      <c r="K434" s="28" t="s">
        <v>452</v>
      </c>
    </row>
    <row r="435" spans="3:11" ht="13.5" customHeight="1" x14ac:dyDescent="0.4">
      <c r="C435" s="26">
        <v>2</v>
      </c>
      <c r="D435" s="26" t="s">
        <v>24</v>
      </c>
      <c r="E435" s="26">
        <v>129</v>
      </c>
      <c r="F435" s="26">
        <v>1432</v>
      </c>
      <c r="G435" s="22">
        <f t="shared" si="20"/>
        <v>434750</v>
      </c>
      <c r="H435" s="18" t="str">
        <f t="shared" si="18"/>
        <v/>
      </c>
      <c r="I435" s="22" t="str">
        <f t="shared" si="19"/>
        <v/>
      </c>
      <c r="J435" s="20" t="str">
        <f>IF(I435="", "", COUNT($I$12:$I435))</f>
        <v/>
      </c>
      <c r="K435" s="28" t="s">
        <v>453</v>
      </c>
    </row>
    <row r="436" spans="3:11" ht="13.5" customHeight="1" x14ac:dyDescent="0.4">
      <c r="C436" s="26">
        <v>2</v>
      </c>
      <c r="D436" s="26" t="s">
        <v>24</v>
      </c>
      <c r="E436" s="26">
        <v>130</v>
      </c>
      <c r="F436" s="26">
        <v>1459</v>
      </c>
      <c r="G436" s="22">
        <f t="shared" si="20"/>
        <v>436209</v>
      </c>
      <c r="H436" s="18" t="str">
        <f t="shared" si="18"/>
        <v/>
      </c>
      <c r="I436" s="22" t="str">
        <f t="shared" si="19"/>
        <v/>
      </c>
      <c r="J436" s="20" t="str">
        <f>IF(I436="", "", COUNT($I$12:$I436))</f>
        <v/>
      </c>
      <c r="K436" s="28" t="s">
        <v>454</v>
      </c>
    </row>
    <row r="437" spans="3:11" ht="13.5" customHeight="1" x14ac:dyDescent="0.4">
      <c r="C437" s="26">
        <v>2</v>
      </c>
      <c r="D437" s="26" t="s">
        <v>24</v>
      </c>
      <c r="E437" s="26">
        <v>131</v>
      </c>
      <c r="F437" s="26">
        <v>1326</v>
      </c>
      <c r="G437" s="22">
        <f t="shared" si="20"/>
        <v>437535</v>
      </c>
      <c r="H437" s="18">
        <f t="shared" si="18"/>
        <v>436878.53763440857</v>
      </c>
      <c r="I437" s="22">
        <f t="shared" si="19"/>
        <v>669.5376344085671</v>
      </c>
      <c r="J437" s="20">
        <f>IF(I437="", "", COUNT($I$12:$I437))</f>
        <v>46</v>
      </c>
      <c r="K437" s="28" t="s">
        <v>455</v>
      </c>
    </row>
    <row r="438" spans="3:11" ht="13.5" customHeight="1" x14ac:dyDescent="0.4">
      <c r="C438" s="26">
        <v>2</v>
      </c>
      <c r="D438" s="26" t="s">
        <v>24</v>
      </c>
      <c r="E438" s="26">
        <v>132</v>
      </c>
      <c r="F438" s="26">
        <v>1419</v>
      </c>
      <c r="G438" s="22">
        <f t="shared" si="20"/>
        <v>438954</v>
      </c>
      <c r="H438" s="18" t="str">
        <f t="shared" si="18"/>
        <v/>
      </c>
      <c r="I438" s="22" t="str">
        <f t="shared" si="19"/>
        <v/>
      </c>
      <c r="J438" s="20" t="str">
        <f>IF(I438="", "", COUNT($I$12:$I438))</f>
        <v/>
      </c>
      <c r="K438" s="28" t="s">
        <v>456</v>
      </c>
    </row>
    <row r="439" spans="3:11" ht="13.5" customHeight="1" x14ac:dyDescent="0.4">
      <c r="C439" s="26">
        <v>2</v>
      </c>
      <c r="D439" s="26" t="s">
        <v>24</v>
      </c>
      <c r="E439" s="26">
        <v>133</v>
      </c>
      <c r="F439" s="26">
        <v>1382</v>
      </c>
      <c r="G439" s="22">
        <f t="shared" si="20"/>
        <v>440336</v>
      </c>
      <c r="H439" s="18" t="str">
        <f t="shared" si="18"/>
        <v/>
      </c>
      <c r="I439" s="22" t="str">
        <f t="shared" si="19"/>
        <v/>
      </c>
      <c r="J439" s="20" t="str">
        <f>IF(I439="", "", COUNT($I$12:$I439))</f>
        <v/>
      </c>
      <c r="K439" s="28" t="s">
        <v>457</v>
      </c>
    </row>
    <row r="440" spans="3:11" ht="13.5" customHeight="1" x14ac:dyDescent="0.4">
      <c r="C440" s="26">
        <v>2</v>
      </c>
      <c r="D440" s="26" t="s">
        <v>24</v>
      </c>
      <c r="E440" s="26">
        <v>134</v>
      </c>
      <c r="F440" s="26">
        <v>1455</v>
      </c>
      <c r="G440" s="22">
        <f t="shared" si="20"/>
        <v>441791</v>
      </c>
      <c r="H440" s="18" t="str">
        <f t="shared" si="18"/>
        <v/>
      </c>
      <c r="I440" s="22" t="str">
        <f t="shared" si="19"/>
        <v/>
      </c>
      <c r="J440" s="20" t="str">
        <f>IF(I440="", "", COUNT($I$12:$I440))</f>
        <v/>
      </c>
      <c r="K440" s="28" t="s">
        <v>458</v>
      </c>
    </row>
    <row r="441" spans="3:11" ht="13.5" customHeight="1" x14ac:dyDescent="0.4">
      <c r="C441" s="26">
        <v>2</v>
      </c>
      <c r="D441" s="26" t="s">
        <v>24</v>
      </c>
      <c r="E441" s="26">
        <v>135</v>
      </c>
      <c r="F441" s="26">
        <v>1339</v>
      </c>
      <c r="G441" s="22">
        <f t="shared" si="20"/>
        <v>443130</v>
      </c>
      <c r="H441" s="18" t="str">
        <f t="shared" si="18"/>
        <v/>
      </c>
      <c r="I441" s="22" t="str">
        <f t="shared" si="19"/>
        <v/>
      </c>
      <c r="J441" s="20" t="str">
        <f>IF(I441="", "", COUNT($I$12:$I441))</f>
        <v/>
      </c>
      <c r="K441" s="28" t="s">
        <v>459</v>
      </c>
    </row>
    <row r="442" spans="3:11" ht="13.5" customHeight="1" x14ac:dyDescent="0.4">
      <c r="C442" s="26">
        <v>2</v>
      </c>
      <c r="D442" s="26" t="s">
        <v>24</v>
      </c>
      <c r="E442" s="26">
        <v>136</v>
      </c>
      <c r="F442" s="26">
        <v>1356</v>
      </c>
      <c r="G442" s="22">
        <f t="shared" si="20"/>
        <v>444486</v>
      </c>
      <c r="H442" s="18" t="str">
        <f t="shared" si="18"/>
        <v/>
      </c>
      <c r="I442" s="22" t="str">
        <f t="shared" si="19"/>
        <v/>
      </c>
      <c r="J442" s="20" t="str">
        <f>IF(I442="", "", COUNT($I$12:$I442))</f>
        <v/>
      </c>
      <c r="K442" s="28" t="s">
        <v>460</v>
      </c>
    </row>
    <row r="443" spans="3:11" ht="13.5" customHeight="1" x14ac:dyDescent="0.4">
      <c r="C443" s="26">
        <v>2</v>
      </c>
      <c r="D443" s="26" t="s">
        <v>24</v>
      </c>
      <c r="E443" s="26">
        <v>137</v>
      </c>
      <c r="F443" s="26">
        <v>1385</v>
      </c>
      <c r="G443" s="22">
        <f t="shared" si="20"/>
        <v>445871</v>
      </c>
      <c r="H443" s="18" t="str">
        <f t="shared" si="18"/>
        <v/>
      </c>
      <c r="I443" s="22" t="str">
        <f t="shared" si="19"/>
        <v/>
      </c>
      <c r="J443" s="20" t="str">
        <f>IF(I443="", "", COUNT($I$12:$I443))</f>
        <v/>
      </c>
      <c r="K443" s="28" t="s">
        <v>461</v>
      </c>
    </row>
    <row r="444" spans="3:11" ht="13.5" customHeight="1" x14ac:dyDescent="0.4">
      <c r="C444" s="26">
        <v>2</v>
      </c>
      <c r="D444" s="26" t="s">
        <v>24</v>
      </c>
      <c r="E444" s="26">
        <v>138</v>
      </c>
      <c r="F444" s="26">
        <v>1511</v>
      </c>
      <c r="G444" s="22">
        <f t="shared" si="20"/>
        <v>447382</v>
      </c>
      <c r="H444" s="18">
        <f t="shared" si="18"/>
        <v>446375.46236559137</v>
      </c>
      <c r="I444" s="22">
        <f t="shared" si="19"/>
        <v>504.46236559137469</v>
      </c>
      <c r="J444" s="20">
        <f>IF(I444="", "", COUNT($I$12:$I444))</f>
        <v>47</v>
      </c>
      <c r="K444" s="28" t="s">
        <v>462</v>
      </c>
    </row>
    <row r="445" spans="3:11" ht="13.5" customHeight="1" x14ac:dyDescent="0.4">
      <c r="C445" s="26">
        <v>2</v>
      </c>
      <c r="D445" s="26" t="s">
        <v>24</v>
      </c>
      <c r="E445" s="26">
        <v>139</v>
      </c>
      <c r="F445" s="26">
        <v>1514</v>
      </c>
      <c r="G445" s="22">
        <f t="shared" si="20"/>
        <v>448896</v>
      </c>
      <c r="H445" s="18" t="str">
        <f t="shared" si="18"/>
        <v/>
      </c>
      <c r="I445" s="22" t="str">
        <f t="shared" si="19"/>
        <v/>
      </c>
      <c r="J445" s="20" t="str">
        <f>IF(I445="", "", COUNT($I$12:$I445))</f>
        <v/>
      </c>
      <c r="K445" s="28" t="s">
        <v>463</v>
      </c>
    </row>
    <row r="446" spans="3:11" ht="13.5" customHeight="1" x14ac:dyDescent="0.4">
      <c r="C446" s="26">
        <v>2</v>
      </c>
      <c r="D446" s="26" t="s">
        <v>24</v>
      </c>
      <c r="E446" s="26">
        <v>140</v>
      </c>
      <c r="F446" s="26">
        <v>1444</v>
      </c>
      <c r="G446" s="22">
        <f t="shared" si="20"/>
        <v>450340</v>
      </c>
      <c r="H446" s="18" t="str">
        <f t="shared" si="18"/>
        <v/>
      </c>
      <c r="I446" s="22" t="str">
        <f t="shared" si="19"/>
        <v/>
      </c>
      <c r="J446" s="20" t="str">
        <f>IF(I446="", "", COUNT($I$12:$I446))</f>
        <v/>
      </c>
      <c r="K446" s="28" t="s">
        <v>464</v>
      </c>
    </row>
    <row r="447" spans="3:11" ht="13.5" customHeight="1" x14ac:dyDescent="0.4">
      <c r="C447" s="26">
        <v>2</v>
      </c>
      <c r="D447" s="26" t="s">
        <v>24</v>
      </c>
      <c r="E447" s="26">
        <v>141</v>
      </c>
      <c r="F447" s="26">
        <v>1224</v>
      </c>
      <c r="G447" s="22">
        <f t="shared" si="20"/>
        <v>451564</v>
      </c>
      <c r="H447" s="18" t="str">
        <f t="shared" si="18"/>
        <v/>
      </c>
      <c r="I447" s="22" t="str">
        <f t="shared" si="19"/>
        <v/>
      </c>
      <c r="J447" s="20" t="str">
        <f>IF(I447="", "", COUNT($I$12:$I447))</f>
        <v/>
      </c>
      <c r="K447" s="28" t="s">
        <v>465</v>
      </c>
    </row>
    <row r="448" spans="3:11" ht="13.5" customHeight="1" x14ac:dyDescent="0.4">
      <c r="C448" s="26">
        <v>2</v>
      </c>
      <c r="D448" s="26" t="s">
        <v>24</v>
      </c>
      <c r="E448" s="26">
        <v>142</v>
      </c>
      <c r="F448" s="26">
        <v>1460</v>
      </c>
      <c r="G448" s="22">
        <f t="shared" si="20"/>
        <v>453024</v>
      </c>
      <c r="H448" s="18" t="str">
        <f t="shared" si="18"/>
        <v/>
      </c>
      <c r="I448" s="22" t="str">
        <f t="shared" si="19"/>
        <v/>
      </c>
      <c r="J448" s="20" t="str">
        <f>IF(I448="", "", COUNT($I$12:$I448))</f>
        <v/>
      </c>
      <c r="K448" s="28" t="s">
        <v>466</v>
      </c>
    </row>
    <row r="449" spans="3:11" ht="13.5" customHeight="1" x14ac:dyDescent="0.4">
      <c r="C449" s="26">
        <v>2</v>
      </c>
      <c r="D449" s="26" t="s">
        <v>24</v>
      </c>
      <c r="E449" s="26">
        <v>143</v>
      </c>
      <c r="F449" s="26">
        <v>1413</v>
      </c>
      <c r="G449" s="22">
        <f t="shared" si="20"/>
        <v>454437</v>
      </c>
      <c r="H449" s="18" t="str">
        <f t="shared" si="18"/>
        <v/>
      </c>
      <c r="I449" s="22" t="str">
        <f t="shared" si="19"/>
        <v/>
      </c>
      <c r="J449" s="20" t="str">
        <f>IF(I449="", "", COUNT($I$12:$I449))</f>
        <v/>
      </c>
      <c r="K449" s="28" t="s">
        <v>467</v>
      </c>
    </row>
    <row r="450" spans="3:11" ht="13.5" customHeight="1" x14ac:dyDescent="0.4">
      <c r="C450" s="26">
        <v>2</v>
      </c>
      <c r="D450" s="26" t="s">
        <v>24</v>
      </c>
      <c r="E450" s="26">
        <v>144</v>
      </c>
      <c r="F450" s="26">
        <v>1509</v>
      </c>
      <c r="G450" s="22">
        <f t="shared" si="20"/>
        <v>455946</v>
      </c>
      <c r="H450" s="18">
        <f t="shared" si="18"/>
        <v>455872.38709677418</v>
      </c>
      <c r="I450" s="22">
        <f t="shared" si="19"/>
        <v>1435.3870967741823</v>
      </c>
      <c r="J450" s="20">
        <f>IF(I450="", "", COUNT($I$12:$I450))</f>
        <v>48</v>
      </c>
      <c r="K450" s="28" t="s">
        <v>468</v>
      </c>
    </row>
    <row r="451" spans="3:11" ht="13.5" customHeight="1" x14ac:dyDescent="0.4">
      <c r="C451" s="26">
        <v>2</v>
      </c>
      <c r="D451" s="26" t="s">
        <v>24</v>
      </c>
      <c r="E451" s="26">
        <v>145</v>
      </c>
      <c r="F451" s="26">
        <v>1180</v>
      </c>
      <c r="G451" s="22">
        <f t="shared" si="20"/>
        <v>457126</v>
      </c>
      <c r="H451" s="18" t="str">
        <f t="shared" si="18"/>
        <v/>
      </c>
      <c r="I451" s="22" t="str">
        <f t="shared" si="19"/>
        <v/>
      </c>
      <c r="J451" s="20" t="str">
        <f>IF(I451="", "", COUNT($I$12:$I451))</f>
        <v/>
      </c>
      <c r="K451" s="28" t="s">
        <v>469</v>
      </c>
    </row>
    <row r="452" spans="3:11" ht="13.5" customHeight="1" x14ac:dyDescent="0.4">
      <c r="C452" s="26">
        <v>2</v>
      </c>
      <c r="D452" s="26" t="s">
        <v>24</v>
      </c>
      <c r="E452" s="26">
        <v>146</v>
      </c>
      <c r="F452" s="26">
        <v>1358</v>
      </c>
      <c r="G452" s="22">
        <f t="shared" si="20"/>
        <v>458484</v>
      </c>
      <c r="H452" s="18" t="str">
        <f t="shared" si="18"/>
        <v/>
      </c>
      <c r="I452" s="22" t="str">
        <f t="shared" si="19"/>
        <v/>
      </c>
      <c r="J452" s="20" t="str">
        <f>IF(I452="", "", COUNT($I$12:$I452))</f>
        <v/>
      </c>
      <c r="K452" s="28" t="s">
        <v>470</v>
      </c>
    </row>
    <row r="453" spans="3:11" ht="13.5" customHeight="1" x14ac:dyDescent="0.4">
      <c r="C453" s="26">
        <v>2</v>
      </c>
      <c r="D453" s="26" t="s">
        <v>24</v>
      </c>
      <c r="E453" s="26">
        <v>147</v>
      </c>
      <c r="F453" s="26">
        <v>1548</v>
      </c>
      <c r="G453" s="22">
        <f t="shared" si="20"/>
        <v>460032</v>
      </c>
      <c r="H453" s="18" t="str">
        <f t="shared" si="18"/>
        <v/>
      </c>
      <c r="I453" s="22" t="str">
        <f t="shared" si="19"/>
        <v/>
      </c>
      <c r="J453" s="20" t="str">
        <f>IF(I453="", "", COUNT($I$12:$I453))</f>
        <v/>
      </c>
      <c r="K453" s="28" t="s">
        <v>471</v>
      </c>
    </row>
    <row r="454" spans="3:11" ht="13.5" customHeight="1" x14ac:dyDescent="0.4">
      <c r="C454" s="26">
        <v>2</v>
      </c>
      <c r="D454" s="26" t="s">
        <v>24</v>
      </c>
      <c r="E454" s="26">
        <v>148</v>
      </c>
      <c r="F454" s="26">
        <v>1549</v>
      </c>
      <c r="G454" s="22">
        <f t="shared" si="20"/>
        <v>461581</v>
      </c>
      <c r="H454" s="18" t="str">
        <f t="shared" si="18"/>
        <v/>
      </c>
      <c r="I454" s="22" t="str">
        <f t="shared" si="19"/>
        <v/>
      </c>
      <c r="J454" s="20" t="str">
        <f>IF(I454="", "", COUNT($I$12:$I454))</f>
        <v/>
      </c>
      <c r="K454" s="28" t="s">
        <v>472</v>
      </c>
    </row>
    <row r="455" spans="3:11" ht="13.5" customHeight="1" x14ac:dyDescent="0.4">
      <c r="C455" s="26">
        <v>2</v>
      </c>
      <c r="D455" s="26" t="s">
        <v>24</v>
      </c>
      <c r="E455" s="26">
        <v>149</v>
      </c>
      <c r="F455" s="26">
        <v>1581</v>
      </c>
      <c r="G455" s="22">
        <f t="shared" si="20"/>
        <v>463162</v>
      </c>
      <c r="H455" s="18" t="str">
        <f t="shared" si="18"/>
        <v/>
      </c>
      <c r="I455" s="22" t="str">
        <f t="shared" si="19"/>
        <v/>
      </c>
      <c r="J455" s="20" t="str">
        <f>IF(I455="", "", COUNT($I$12:$I455))</f>
        <v/>
      </c>
      <c r="K455" s="28" t="s">
        <v>473</v>
      </c>
    </row>
    <row r="456" spans="3:11" ht="13.5" customHeight="1" x14ac:dyDescent="0.4">
      <c r="C456" s="26">
        <v>2</v>
      </c>
      <c r="D456" s="26" t="s">
        <v>24</v>
      </c>
      <c r="E456" s="26">
        <v>150</v>
      </c>
      <c r="F456" s="26">
        <v>1517</v>
      </c>
      <c r="G456" s="22">
        <f t="shared" si="20"/>
        <v>464679</v>
      </c>
      <c r="H456" s="18" t="str">
        <f t="shared" si="18"/>
        <v/>
      </c>
      <c r="I456" s="22" t="str">
        <f t="shared" si="19"/>
        <v/>
      </c>
      <c r="J456" s="20" t="str">
        <f>IF(I456="", "", COUNT($I$12:$I456))</f>
        <v/>
      </c>
      <c r="K456" s="28" t="s">
        <v>474</v>
      </c>
    </row>
    <row r="457" spans="3:11" ht="13.5" customHeight="1" x14ac:dyDescent="0.4">
      <c r="C457" s="26">
        <v>2</v>
      </c>
      <c r="D457" s="26" t="s">
        <v>24</v>
      </c>
      <c r="E457" s="26">
        <v>151</v>
      </c>
      <c r="F457" s="26">
        <v>1398</v>
      </c>
      <c r="G457" s="22">
        <f t="shared" si="20"/>
        <v>466077</v>
      </c>
      <c r="H457" s="18">
        <f t="shared" si="18"/>
        <v>465369.31182795693</v>
      </c>
      <c r="I457" s="22">
        <f t="shared" si="19"/>
        <v>690.31182795693167</v>
      </c>
      <c r="J457" s="20">
        <f>IF(I457="", "", COUNT($I$12:$I457))</f>
        <v>49</v>
      </c>
      <c r="K457" s="28" t="s">
        <v>475</v>
      </c>
    </row>
    <row r="458" spans="3:11" ht="13.5" customHeight="1" x14ac:dyDescent="0.4">
      <c r="C458" s="26">
        <v>2</v>
      </c>
      <c r="D458" s="26" t="s">
        <v>24</v>
      </c>
      <c r="E458" s="26">
        <v>152</v>
      </c>
      <c r="F458" s="26">
        <v>1500</v>
      </c>
      <c r="G458" s="22">
        <f t="shared" si="20"/>
        <v>467577</v>
      </c>
      <c r="H458" s="18" t="str">
        <f t="shared" si="18"/>
        <v/>
      </c>
      <c r="I458" s="22" t="str">
        <f t="shared" si="19"/>
        <v/>
      </c>
      <c r="J458" s="20" t="str">
        <f>IF(I458="", "", COUNT($I$12:$I458))</f>
        <v/>
      </c>
      <c r="K458" s="28" t="s">
        <v>476</v>
      </c>
    </row>
    <row r="459" spans="3:11" ht="13.5" customHeight="1" x14ac:dyDescent="0.4">
      <c r="C459" s="26">
        <v>2</v>
      </c>
      <c r="D459" s="26" t="s">
        <v>24</v>
      </c>
      <c r="E459" s="26">
        <v>153</v>
      </c>
      <c r="F459" s="26">
        <v>1452</v>
      </c>
      <c r="G459" s="22">
        <f t="shared" si="20"/>
        <v>469029</v>
      </c>
      <c r="H459" s="18" t="str">
        <f t="shared" si="18"/>
        <v/>
      </c>
      <c r="I459" s="22" t="str">
        <f t="shared" si="19"/>
        <v/>
      </c>
      <c r="J459" s="20" t="str">
        <f>IF(I459="", "", COUNT($I$12:$I459))</f>
        <v/>
      </c>
      <c r="K459" s="28" t="s">
        <v>477</v>
      </c>
    </row>
    <row r="460" spans="3:11" ht="13.5" customHeight="1" x14ac:dyDescent="0.4">
      <c r="C460" s="26">
        <v>2</v>
      </c>
      <c r="D460" s="26" t="s">
        <v>24</v>
      </c>
      <c r="E460" s="26">
        <v>154</v>
      </c>
      <c r="F460" s="26">
        <v>1058</v>
      </c>
      <c r="G460" s="22">
        <f t="shared" si="20"/>
        <v>470087</v>
      </c>
      <c r="H460" s="18" t="str">
        <f t="shared" ref="H460:H523" si="21">IF(AND(G460 &gt;= ($D$5 + ($C$5 * (INT((G460 - $D$5)/$C$5)))), G459 &lt; ($D$5 + ($C$5 * (INT((G460 - $D$5)/$C$5))))), $D$5 + ($C$5 * INT((G460 - $D$5)/$C$5)), "")</f>
        <v/>
      </c>
      <c r="I460" s="22" t="str">
        <f t="shared" ref="I460:I523" si="22">IFERROR(H460-G459, "")</f>
        <v/>
      </c>
      <c r="J460" s="20" t="str">
        <f>IF(I460="", "", COUNT($I$12:$I460))</f>
        <v/>
      </c>
      <c r="K460" s="28" t="s">
        <v>478</v>
      </c>
    </row>
    <row r="461" spans="3:11" ht="13.5" customHeight="1" x14ac:dyDescent="0.4">
      <c r="C461" s="26">
        <v>2</v>
      </c>
      <c r="D461" s="26" t="s">
        <v>24</v>
      </c>
      <c r="E461" s="26">
        <v>155</v>
      </c>
      <c r="F461" s="26">
        <v>1138</v>
      </c>
      <c r="G461" s="22">
        <f t="shared" si="20"/>
        <v>471225</v>
      </c>
      <c r="H461" s="18" t="str">
        <f t="shared" si="21"/>
        <v/>
      </c>
      <c r="I461" s="22" t="str">
        <f t="shared" si="22"/>
        <v/>
      </c>
      <c r="J461" s="20" t="str">
        <f>IF(I461="", "", COUNT($I$12:$I461))</f>
        <v/>
      </c>
      <c r="K461" s="28" t="s">
        <v>479</v>
      </c>
    </row>
    <row r="462" spans="3:11" ht="13.5" customHeight="1" x14ac:dyDescent="0.4">
      <c r="C462" s="26">
        <v>2</v>
      </c>
      <c r="D462" s="26" t="s">
        <v>24</v>
      </c>
      <c r="E462" s="26">
        <v>156</v>
      </c>
      <c r="F462" s="26">
        <v>1481</v>
      </c>
      <c r="G462" s="22">
        <f t="shared" ref="G462:G525" si="23">G461+F462</f>
        <v>472706</v>
      </c>
      <c r="H462" s="18" t="str">
        <f t="shared" si="21"/>
        <v/>
      </c>
      <c r="I462" s="22" t="str">
        <f t="shared" si="22"/>
        <v/>
      </c>
      <c r="J462" s="20" t="str">
        <f>IF(I462="", "", COUNT($I$12:$I462))</f>
        <v/>
      </c>
      <c r="K462" s="28" t="s">
        <v>480</v>
      </c>
    </row>
    <row r="463" spans="3:11" ht="13.5" customHeight="1" x14ac:dyDescent="0.4">
      <c r="C463" s="26">
        <v>2</v>
      </c>
      <c r="D463" s="26" t="s">
        <v>24</v>
      </c>
      <c r="E463" s="26">
        <v>157</v>
      </c>
      <c r="F463" s="26">
        <v>1460</v>
      </c>
      <c r="G463" s="22">
        <f t="shared" si="23"/>
        <v>474166</v>
      </c>
      <c r="H463" s="18" t="str">
        <f t="shared" si="21"/>
        <v/>
      </c>
      <c r="I463" s="22" t="str">
        <f t="shared" si="22"/>
        <v/>
      </c>
      <c r="J463" s="20" t="str">
        <f>IF(I463="", "", COUNT($I$12:$I463))</f>
        <v/>
      </c>
      <c r="K463" s="28" t="s">
        <v>481</v>
      </c>
    </row>
    <row r="464" spans="3:11" ht="13.5" customHeight="1" x14ac:dyDescent="0.4">
      <c r="C464" s="26">
        <v>2</v>
      </c>
      <c r="D464" s="26" t="s">
        <v>24</v>
      </c>
      <c r="E464" s="26">
        <v>158</v>
      </c>
      <c r="F464" s="26">
        <v>1293</v>
      </c>
      <c r="G464" s="22">
        <f t="shared" si="23"/>
        <v>475459</v>
      </c>
      <c r="H464" s="18">
        <f t="shared" si="21"/>
        <v>474866.23655913974</v>
      </c>
      <c r="I464" s="22">
        <f t="shared" si="22"/>
        <v>700.23655913973926</v>
      </c>
      <c r="J464" s="20">
        <f>IF(I464="", "", COUNT($I$12:$I464))</f>
        <v>50</v>
      </c>
      <c r="K464" s="28" t="s">
        <v>482</v>
      </c>
    </row>
    <row r="465" spans="3:11" ht="13.5" customHeight="1" x14ac:dyDescent="0.4">
      <c r="C465" s="26">
        <v>2</v>
      </c>
      <c r="D465" s="26" t="s">
        <v>24</v>
      </c>
      <c r="E465" s="26">
        <v>159</v>
      </c>
      <c r="F465" s="26">
        <v>1390</v>
      </c>
      <c r="G465" s="22">
        <f t="shared" si="23"/>
        <v>476849</v>
      </c>
      <c r="H465" s="18" t="str">
        <f t="shared" si="21"/>
        <v/>
      </c>
      <c r="I465" s="22" t="str">
        <f t="shared" si="22"/>
        <v/>
      </c>
      <c r="J465" s="20" t="str">
        <f>IF(I465="", "", COUNT($I$12:$I465))</f>
        <v/>
      </c>
      <c r="K465" s="28" t="s">
        <v>483</v>
      </c>
    </row>
    <row r="466" spans="3:11" ht="13.5" customHeight="1" x14ac:dyDescent="0.4">
      <c r="C466" s="26">
        <v>2</v>
      </c>
      <c r="D466" s="26" t="s">
        <v>24</v>
      </c>
      <c r="E466" s="26">
        <v>160</v>
      </c>
      <c r="F466" s="26">
        <v>1359</v>
      </c>
      <c r="G466" s="22">
        <f t="shared" si="23"/>
        <v>478208</v>
      </c>
      <c r="H466" s="18" t="str">
        <f t="shared" si="21"/>
        <v/>
      </c>
      <c r="I466" s="22" t="str">
        <f t="shared" si="22"/>
        <v/>
      </c>
      <c r="J466" s="20" t="str">
        <f>IF(I466="", "", COUNT($I$12:$I466))</f>
        <v/>
      </c>
      <c r="K466" s="28" t="s">
        <v>484</v>
      </c>
    </row>
    <row r="467" spans="3:11" ht="13.5" customHeight="1" x14ac:dyDescent="0.4">
      <c r="C467" s="26">
        <v>2</v>
      </c>
      <c r="D467" s="26" t="s">
        <v>24</v>
      </c>
      <c r="E467" s="26">
        <v>161</v>
      </c>
      <c r="F467" s="26">
        <v>1501</v>
      </c>
      <c r="G467" s="22">
        <f t="shared" si="23"/>
        <v>479709</v>
      </c>
      <c r="H467" s="18" t="str">
        <f t="shared" si="21"/>
        <v/>
      </c>
      <c r="I467" s="22" t="str">
        <f t="shared" si="22"/>
        <v/>
      </c>
      <c r="J467" s="20" t="str">
        <f>IF(I467="", "", COUNT($I$12:$I467))</f>
        <v/>
      </c>
      <c r="K467" s="28" t="s">
        <v>485</v>
      </c>
    </row>
    <row r="468" spans="3:11" ht="13.5" customHeight="1" x14ac:dyDescent="0.4">
      <c r="C468" s="26">
        <v>2</v>
      </c>
      <c r="D468" s="26" t="s">
        <v>24</v>
      </c>
      <c r="E468" s="26">
        <v>162</v>
      </c>
      <c r="F468" s="26">
        <v>1127</v>
      </c>
      <c r="G468" s="22">
        <f t="shared" si="23"/>
        <v>480836</v>
      </c>
      <c r="H468" s="18" t="str">
        <f t="shared" si="21"/>
        <v/>
      </c>
      <c r="I468" s="22" t="str">
        <f t="shared" si="22"/>
        <v/>
      </c>
      <c r="J468" s="20" t="str">
        <f>IF(I468="", "", COUNT($I$12:$I468))</f>
        <v/>
      </c>
      <c r="K468" s="28" t="s">
        <v>486</v>
      </c>
    </row>
    <row r="469" spans="3:11" ht="13.5" customHeight="1" x14ac:dyDescent="0.4">
      <c r="C469" s="26">
        <v>2</v>
      </c>
      <c r="D469" s="26" t="s">
        <v>24</v>
      </c>
      <c r="E469" s="26">
        <v>163</v>
      </c>
      <c r="F469" s="26">
        <v>1513</v>
      </c>
      <c r="G469" s="22">
        <f t="shared" si="23"/>
        <v>482349</v>
      </c>
      <c r="H469" s="18" t="str">
        <f t="shared" si="21"/>
        <v/>
      </c>
      <c r="I469" s="22" t="str">
        <f t="shared" si="22"/>
        <v/>
      </c>
      <c r="J469" s="20" t="str">
        <f>IF(I469="", "", COUNT($I$12:$I469))</f>
        <v/>
      </c>
      <c r="K469" s="28" t="s">
        <v>487</v>
      </c>
    </row>
    <row r="470" spans="3:11" ht="13.5" customHeight="1" x14ac:dyDescent="0.4">
      <c r="C470" s="26">
        <v>2</v>
      </c>
      <c r="D470" s="26" t="s">
        <v>24</v>
      </c>
      <c r="E470" s="26">
        <v>164</v>
      </c>
      <c r="F470" s="26">
        <v>1531</v>
      </c>
      <c r="G470" s="22">
        <f t="shared" si="23"/>
        <v>483880</v>
      </c>
      <c r="H470" s="18" t="str">
        <f t="shared" si="21"/>
        <v/>
      </c>
      <c r="I470" s="22" t="str">
        <f t="shared" si="22"/>
        <v/>
      </c>
      <c r="J470" s="20" t="str">
        <f>IF(I470="", "", COUNT($I$12:$I470))</f>
        <v/>
      </c>
      <c r="K470" s="28" t="s">
        <v>488</v>
      </c>
    </row>
    <row r="471" spans="3:11" ht="13.5" customHeight="1" x14ac:dyDescent="0.4">
      <c r="C471" s="26">
        <v>2</v>
      </c>
      <c r="D471" s="26" t="s">
        <v>24</v>
      </c>
      <c r="E471" s="26">
        <v>165</v>
      </c>
      <c r="F471" s="26">
        <v>1491</v>
      </c>
      <c r="G471" s="22">
        <f t="shared" si="23"/>
        <v>485371</v>
      </c>
      <c r="H471" s="18">
        <f t="shared" si="21"/>
        <v>484363.16129032255</v>
      </c>
      <c r="I471" s="22">
        <f t="shared" si="22"/>
        <v>483.16129032254685</v>
      </c>
      <c r="J471" s="20">
        <f>IF(I471="", "", COUNT($I$12:$I471))</f>
        <v>51</v>
      </c>
      <c r="K471" s="28" t="s">
        <v>489</v>
      </c>
    </row>
    <row r="472" spans="3:11" ht="13.5" customHeight="1" x14ac:dyDescent="0.4">
      <c r="C472" s="26">
        <v>2</v>
      </c>
      <c r="D472" s="26" t="s">
        <v>24</v>
      </c>
      <c r="E472" s="26">
        <v>166</v>
      </c>
      <c r="F472" s="26">
        <v>1251</v>
      </c>
      <c r="G472" s="22">
        <f t="shared" si="23"/>
        <v>486622</v>
      </c>
      <c r="H472" s="18" t="str">
        <f t="shared" si="21"/>
        <v/>
      </c>
      <c r="I472" s="22" t="str">
        <f t="shared" si="22"/>
        <v/>
      </c>
      <c r="J472" s="20" t="str">
        <f>IF(I472="", "", COUNT($I$12:$I472))</f>
        <v/>
      </c>
      <c r="K472" s="28" t="s">
        <v>490</v>
      </c>
    </row>
    <row r="473" spans="3:11" ht="13.5" customHeight="1" x14ac:dyDescent="0.4">
      <c r="C473" s="26">
        <v>2</v>
      </c>
      <c r="D473" s="26" t="s">
        <v>24</v>
      </c>
      <c r="E473" s="26">
        <v>167</v>
      </c>
      <c r="F473" s="26">
        <v>1523</v>
      </c>
      <c r="G473" s="22">
        <f t="shared" si="23"/>
        <v>488145</v>
      </c>
      <c r="H473" s="18" t="str">
        <f t="shared" si="21"/>
        <v/>
      </c>
      <c r="I473" s="22" t="str">
        <f t="shared" si="22"/>
        <v/>
      </c>
      <c r="J473" s="20" t="str">
        <f>IF(I473="", "", COUNT($I$12:$I473))</f>
        <v/>
      </c>
      <c r="K473" s="28" t="s">
        <v>491</v>
      </c>
    </row>
    <row r="474" spans="3:11" ht="13.5" customHeight="1" x14ac:dyDescent="0.4">
      <c r="C474" s="26">
        <v>2</v>
      </c>
      <c r="D474" s="26" t="s">
        <v>24</v>
      </c>
      <c r="E474" s="26">
        <v>168</v>
      </c>
      <c r="F474" s="26">
        <v>1509</v>
      </c>
      <c r="G474" s="22">
        <f t="shared" si="23"/>
        <v>489654</v>
      </c>
      <c r="H474" s="18" t="str">
        <f t="shared" si="21"/>
        <v/>
      </c>
      <c r="I474" s="22" t="str">
        <f t="shared" si="22"/>
        <v/>
      </c>
      <c r="J474" s="20" t="str">
        <f>IF(I474="", "", COUNT($I$12:$I474))</f>
        <v/>
      </c>
      <c r="K474" s="28" t="s">
        <v>492</v>
      </c>
    </row>
    <row r="475" spans="3:11" ht="13.5" customHeight="1" x14ac:dyDescent="0.4">
      <c r="C475" s="26">
        <v>2</v>
      </c>
      <c r="D475" s="26" t="s">
        <v>24</v>
      </c>
      <c r="E475" s="26">
        <v>169</v>
      </c>
      <c r="F475" s="26">
        <v>1512</v>
      </c>
      <c r="G475" s="22">
        <f t="shared" si="23"/>
        <v>491166</v>
      </c>
      <c r="H475" s="18" t="str">
        <f t="shared" si="21"/>
        <v/>
      </c>
      <c r="I475" s="22" t="str">
        <f t="shared" si="22"/>
        <v/>
      </c>
      <c r="J475" s="20" t="str">
        <f>IF(I475="", "", COUNT($I$12:$I475))</f>
        <v/>
      </c>
      <c r="K475" s="28" t="s">
        <v>493</v>
      </c>
    </row>
    <row r="476" spans="3:11" ht="13.5" customHeight="1" x14ac:dyDescent="0.4">
      <c r="C476" s="26">
        <v>2</v>
      </c>
      <c r="D476" s="26" t="s">
        <v>24</v>
      </c>
      <c r="E476" s="26">
        <v>170</v>
      </c>
      <c r="F476" s="26">
        <v>1512</v>
      </c>
      <c r="G476" s="22">
        <f t="shared" si="23"/>
        <v>492678</v>
      </c>
      <c r="H476" s="18" t="str">
        <f t="shared" si="21"/>
        <v/>
      </c>
      <c r="I476" s="22" t="str">
        <f t="shared" si="22"/>
        <v/>
      </c>
      <c r="J476" s="20" t="str">
        <f>IF(I476="", "", COUNT($I$12:$I476))</f>
        <v/>
      </c>
      <c r="K476" s="28" t="s">
        <v>494</v>
      </c>
    </row>
    <row r="477" spans="3:11" ht="13.5" customHeight="1" x14ac:dyDescent="0.4">
      <c r="C477" s="26">
        <v>2</v>
      </c>
      <c r="D477" s="26" t="s">
        <v>24</v>
      </c>
      <c r="E477" s="26">
        <v>171</v>
      </c>
      <c r="F477" s="26">
        <v>1510</v>
      </c>
      <c r="G477" s="22">
        <f t="shared" si="23"/>
        <v>494188</v>
      </c>
      <c r="H477" s="18">
        <f t="shared" si="21"/>
        <v>493860.08602150535</v>
      </c>
      <c r="I477" s="22">
        <f t="shared" si="22"/>
        <v>1182.0860215053544</v>
      </c>
      <c r="J477" s="20">
        <f>IF(I477="", "", COUNT($I$12:$I477))</f>
        <v>52</v>
      </c>
      <c r="K477" s="28" t="s">
        <v>495</v>
      </c>
    </row>
    <row r="478" spans="3:11" ht="13.5" customHeight="1" x14ac:dyDescent="0.4">
      <c r="C478" s="26">
        <v>2</v>
      </c>
      <c r="D478" s="26" t="s">
        <v>24</v>
      </c>
      <c r="E478" s="26">
        <v>172</v>
      </c>
      <c r="F478" s="26">
        <v>1478</v>
      </c>
      <c r="G478" s="22">
        <f t="shared" si="23"/>
        <v>495666</v>
      </c>
      <c r="H478" s="18" t="str">
        <f t="shared" si="21"/>
        <v/>
      </c>
      <c r="I478" s="22" t="str">
        <f t="shared" si="22"/>
        <v/>
      </c>
      <c r="J478" s="20" t="str">
        <f>IF(I478="", "", COUNT($I$12:$I478))</f>
        <v/>
      </c>
      <c r="K478" s="28" t="s">
        <v>496</v>
      </c>
    </row>
    <row r="479" spans="3:11" ht="13.5" customHeight="1" x14ac:dyDescent="0.4">
      <c r="C479" s="26">
        <v>2</v>
      </c>
      <c r="D479" s="26" t="s">
        <v>24</v>
      </c>
      <c r="E479" s="26">
        <v>173</v>
      </c>
      <c r="F479" s="26">
        <v>1395</v>
      </c>
      <c r="G479" s="22">
        <f t="shared" si="23"/>
        <v>497061</v>
      </c>
      <c r="H479" s="18" t="str">
        <f t="shared" si="21"/>
        <v/>
      </c>
      <c r="I479" s="22" t="str">
        <f t="shared" si="22"/>
        <v/>
      </c>
      <c r="J479" s="20" t="str">
        <f>IF(I479="", "", COUNT($I$12:$I479))</f>
        <v/>
      </c>
      <c r="K479" s="28" t="s">
        <v>497</v>
      </c>
    </row>
    <row r="480" spans="3:11" ht="13.5" customHeight="1" x14ac:dyDescent="0.4">
      <c r="C480" s="26">
        <v>2</v>
      </c>
      <c r="D480" s="26" t="s">
        <v>24</v>
      </c>
      <c r="E480" s="26">
        <v>174</v>
      </c>
      <c r="F480" s="26">
        <v>1321</v>
      </c>
      <c r="G480" s="22">
        <f t="shared" si="23"/>
        <v>498382</v>
      </c>
      <c r="H480" s="18" t="str">
        <f t="shared" si="21"/>
        <v/>
      </c>
      <c r="I480" s="22" t="str">
        <f t="shared" si="22"/>
        <v/>
      </c>
      <c r="J480" s="20" t="str">
        <f>IF(I480="", "", COUNT($I$12:$I480))</f>
        <v/>
      </c>
      <c r="K480" s="28" t="s">
        <v>498</v>
      </c>
    </row>
    <row r="481" spans="3:11" ht="13.5" customHeight="1" x14ac:dyDescent="0.4">
      <c r="C481" s="26">
        <v>2</v>
      </c>
      <c r="D481" s="26" t="s">
        <v>24</v>
      </c>
      <c r="E481" s="26">
        <v>175</v>
      </c>
      <c r="F481" s="26">
        <v>1446</v>
      </c>
      <c r="G481" s="22">
        <f t="shared" si="23"/>
        <v>499828</v>
      </c>
      <c r="H481" s="18" t="str">
        <f t="shared" si="21"/>
        <v/>
      </c>
      <c r="I481" s="22" t="str">
        <f t="shared" si="22"/>
        <v/>
      </c>
      <c r="J481" s="20" t="str">
        <f>IF(I481="", "", COUNT($I$12:$I481))</f>
        <v/>
      </c>
      <c r="K481" s="28" t="s">
        <v>499</v>
      </c>
    </row>
    <row r="482" spans="3:11" ht="13.5" customHeight="1" x14ac:dyDescent="0.4">
      <c r="C482" s="26">
        <v>2</v>
      </c>
      <c r="D482" s="26" t="s">
        <v>24</v>
      </c>
      <c r="E482" s="26">
        <v>176</v>
      </c>
      <c r="F482" s="26">
        <v>1386</v>
      </c>
      <c r="G482" s="22">
        <f t="shared" si="23"/>
        <v>501214</v>
      </c>
      <c r="H482" s="18" t="str">
        <f t="shared" si="21"/>
        <v/>
      </c>
      <c r="I482" s="22" t="str">
        <f t="shared" si="22"/>
        <v/>
      </c>
      <c r="J482" s="20" t="str">
        <f>IF(I482="", "", COUNT($I$12:$I482))</f>
        <v/>
      </c>
      <c r="K482" s="28" t="s">
        <v>500</v>
      </c>
    </row>
    <row r="483" spans="3:11" ht="13.5" customHeight="1" x14ac:dyDescent="0.4">
      <c r="C483" s="26">
        <v>2</v>
      </c>
      <c r="D483" s="26" t="s">
        <v>24</v>
      </c>
      <c r="E483" s="26">
        <v>177</v>
      </c>
      <c r="F483" s="26">
        <v>1575</v>
      </c>
      <c r="G483" s="22">
        <f t="shared" si="23"/>
        <v>502789</v>
      </c>
      <c r="H483" s="18" t="str">
        <f t="shared" si="21"/>
        <v/>
      </c>
      <c r="I483" s="22" t="str">
        <f t="shared" si="22"/>
        <v/>
      </c>
      <c r="J483" s="20" t="str">
        <f>IF(I483="", "", COUNT($I$12:$I483))</f>
        <v/>
      </c>
      <c r="K483" s="28" t="s">
        <v>501</v>
      </c>
    </row>
    <row r="484" spans="3:11" ht="13.5" customHeight="1" x14ac:dyDescent="0.4">
      <c r="C484" s="26">
        <v>2</v>
      </c>
      <c r="D484" s="26" t="s">
        <v>24</v>
      </c>
      <c r="E484" s="26">
        <v>178</v>
      </c>
      <c r="F484" s="26">
        <v>1245</v>
      </c>
      <c r="G484" s="22">
        <f t="shared" si="23"/>
        <v>504034</v>
      </c>
      <c r="H484" s="18">
        <f t="shared" si="21"/>
        <v>503357.0107526881</v>
      </c>
      <c r="I484" s="22">
        <f t="shared" si="22"/>
        <v>568.01075268810382</v>
      </c>
      <c r="J484" s="20">
        <f>IF(I484="", "", COUNT($I$12:$I484))</f>
        <v>53</v>
      </c>
      <c r="K484" s="28" t="s">
        <v>502</v>
      </c>
    </row>
    <row r="485" spans="3:11" ht="13.5" customHeight="1" x14ac:dyDescent="0.4">
      <c r="C485" s="26">
        <v>2</v>
      </c>
      <c r="D485" s="26" t="s">
        <v>24</v>
      </c>
      <c r="E485" s="26">
        <v>179</v>
      </c>
      <c r="F485" s="26">
        <v>1480</v>
      </c>
      <c r="G485" s="22">
        <f t="shared" si="23"/>
        <v>505514</v>
      </c>
      <c r="H485" s="18" t="str">
        <f t="shared" si="21"/>
        <v/>
      </c>
      <c r="I485" s="22" t="str">
        <f t="shared" si="22"/>
        <v/>
      </c>
      <c r="J485" s="20" t="str">
        <f>IF(I485="", "", COUNT($I$12:$I485))</f>
        <v/>
      </c>
      <c r="K485" s="28" t="s">
        <v>503</v>
      </c>
    </row>
    <row r="486" spans="3:11" ht="13.5" customHeight="1" x14ac:dyDescent="0.4">
      <c r="C486" s="26">
        <v>2</v>
      </c>
      <c r="D486" s="26" t="s">
        <v>24</v>
      </c>
      <c r="E486" s="26">
        <v>180</v>
      </c>
      <c r="F486" s="26">
        <v>1340</v>
      </c>
      <c r="G486" s="22">
        <f t="shared" si="23"/>
        <v>506854</v>
      </c>
      <c r="H486" s="18" t="str">
        <f t="shared" si="21"/>
        <v/>
      </c>
      <c r="I486" s="22" t="str">
        <f t="shared" si="22"/>
        <v/>
      </c>
      <c r="J486" s="20" t="str">
        <f>IF(I486="", "", COUNT($I$12:$I486))</f>
        <v/>
      </c>
      <c r="K486" s="28" t="s">
        <v>504</v>
      </c>
    </row>
    <row r="487" spans="3:11" ht="13.5" customHeight="1" x14ac:dyDescent="0.4">
      <c r="C487" s="26">
        <v>2</v>
      </c>
      <c r="D487" s="26" t="s">
        <v>24</v>
      </c>
      <c r="E487" s="26">
        <v>181</v>
      </c>
      <c r="F487" s="26">
        <v>1506</v>
      </c>
      <c r="G487" s="22">
        <f t="shared" si="23"/>
        <v>508360</v>
      </c>
      <c r="H487" s="18" t="str">
        <f t="shared" si="21"/>
        <v/>
      </c>
      <c r="I487" s="22" t="str">
        <f t="shared" si="22"/>
        <v/>
      </c>
      <c r="J487" s="20" t="str">
        <f>IF(I487="", "", COUNT($I$12:$I487))</f>
        <v/>
      </c>
      <c r="K487" s="28" t="s">
        <v>505</v>
      </c>
    </row>
    <row r="488" spans="3:11" ht="13.5" customHeight="1" x14ac:dyDescent="0.4">
      <c r="C488" s="26">
        <v>2</v>
      </c>
      <c r="D488" s="26" t="s">
        <v>24</v>
      </c>
      <c r="E488" s="26">
        <v>182</v>
      </c>
      <c r="F488" s="26">
        <v>1482</v>
      </c>
      <c r="G488" s="22">
        <f t="shared" si="23"/>
        <v>509842</v>
      </c>
      <c r="H488" s="18" t="str">
        <f t="shared" si="21"/>
        <v/>
      </c>
      <c r="I488" s="22" t="str">
        <f t="shared" si="22"/>
        <v/>
      </c>
      <c r="J488" s="20" t="str">
        <f>IF(I488="", "", COUNT($I$12:$I488))</f>
        <v/>
      </c>
      <c r="K488" s="28" t="s">
        <v>506</v>
      </c>
    </row>
    <row r="489" spans="3:11" ht="13.5" customHeight="1" x14ac:dyDescent="0.4">
      <c r="C489" s="26">
        <v>2</v>
      </c>
      <c r="D489" s="26" t="s">
        <v>24</v>
      </c>
      <c r="E489" s="26">
        <v>183</v>
      </c>
      <c r="F489" s="26">
        <v>1350</v>
      </c>
      <c r="G489" s="22">
        <f t="shared" si="23"/>
        <v>511192</v>
      </c>
      <c r="H489" s="18" t="str">
        <f t="shared" si="21"/>
        <v/>
      </c>
      <c r="I489" s="22" t="str">
        <f t="shared" si="22"/>
        <v/>
      </c>
      <c r="J489" s="20" t="str">
        <f>IF(I489="", "", COUNT($I$12:$I489))</f>
        <v/>
      </c>
      <c r="K489" s="28" t="s">
        <v>507</v>
      </c>
    </row>
    <row r="490" spans="3:11" ht="13.5" customHeight="1" x14ac:dyDescent="0.4">
      <c r="C490" s="26">
        <v>2</v>
      </c>
      <c r="D490" s="26" t="s">
        <v>24</v>
      </c>
      <c r="E490" s="26">
        <v>184</v>
      </c>
      <c r="F490" s="26">
        <v>1432</v>
      </c>
      <c r="G490" s="22">
        <f t="shared" si="23"/>
        <v>512624</v>
      </c>
      <c r="H490" s="18" t="str">
        <f t="shared" si="21"/>
        <v/>
      </c>
      <c r="I490" s="22" t="str">
        <f t="shared" si="22"/>
        <v/>
      </c>
      <c r="J490" s="20" t="str">
        <f>IF(I490="", "", COUNT($I$12:$I490))</f>
        <v/>
      </c>
      <c r="K490" s="28" t="s">
        <v>508</v>
      </c>
    </row>
    <row r="491" spans="3:11" ht="13.5" customHeight="1" x14ac:dyDescent="0.4">
      <c r="C491" s="26">
        <v>2</v>
      </c>
      <c r="D491" s="26" t="s">
        <v>24</v>
      </c>
      <c r="E491" s="26">
        <v>185</v>
      </c>
      <c r="F491" s="26">
        <v>1381</v>
      </c>
      <c r="G491" s="22">
        <f t="shared" si="23"/>
        <v>514005</v>
      </c>
      <c r="H491" s="18">
        <f t="shared" si="21"/>
        <v>512853.93548387091</v>
      </c>
      <c r="I491" s="22">
        <f t="shared" si="22"/>
        <v>229.93548387091141</v>
      </c>
      <c r="J491" s="20">
        <f>IF(I491="", "", COUNT($I$12:$I491))</f>
        <v>54</v>
      </c>
      <c r="K491" s="28" t="s">
        <v>509</v>
      </c>
    </row>
    <row r="492" spans="3:11" ht="13.5" customHeight="1" x14ac:dyDescent="0.4">
      <c r="C492" s="26">
        <v>2</v>
      </c>
      <c r="D492" s="26" t="s">
        <v>24</v>
      </c>
      <c r="E492" s="26">
        <v>186</v>
      </c>
      <c r="F492" s="26">
        <v>1075</v>
      </c>
      <c r="G492" s="22">
        <f t="shared" si="23"/>
        <v>515080</v>
      </c>
      <c r="H492" s="18" t="str">
        <f t="shared" si="21"/>
        <v/>
      </c>
      <c r="I492" s="22" t="str">
        <f t="shared" si="22"/>
        <v/>
      </c>
      <c r="J492" s="20" t="str">
        <f>IF(I492="", "", COUNT($I$12:$I492))</f>
        <v/>
      </c>
      <c r="K492" s="28" t="s">
        <v>510</v>
      </c>
    </row>
    <row r="493" spans="3:11" ht="13.5" customHeight="1" x14ac:dyDescent="0.4">
      <c r="C493" s="26">
        <v>2</v>
      </c>
      <c r="D493" s="26" t="s">
        <v>24</v>
      </c>
      <c r="E493" s="26">
        <v>187</v>
      </c>
      <c r="F493" s="26">
        <v>1026</v>
      </c>
      <c r="G493" s="22">
        <f t="shared" si="23"/>
        <v>516106</v>
      </c>
      <c r="H493" s="18" t="str">
        <f t="shared" si="21"/>
        <v/>
      </c>
      <c r="I493" s="22" t="str">
        <f t="shared" si="22"/>
        <v/>
      </c>
      <c r="J493" s="20" t="str">
        <f>IF(I493="", "", COUNT($I$12:$I493))</f>
        <v/>
      </c>
      <c r="K493" s="28" t="s">
        <v>511</v>
      </c>
    </row>
    <row r="494" spans="3:11" ht="13.5" customHeight="1" x14ac:dyDescent="0.4">
      <c r="C494" s="26">
        <v>2</v>
      </c>
      <c r="D494" s="26" t="s">
        <v>24</v>
      </c>
      <c r="E494" s="26">
        <v>188</v>
      </c>
      <c r="F494" s="26">
        <v>1001</v>
      </c>
      <c r="G494" s="22">
        <f t="shared" si="23"/>
        <v>517107</v>
      </c>
      <c r="H494" s="18" t="str">
        <f t="shared" si="21"/>
        <v/>
      </c>
      <c r="I494" s="22" t="str">
        <f t="shared" si="22"/>
        <v/>
      </c>
      <c r="J494" s="20" t="str">
        <f>IF(I494="", "", COUNT($I$12:$I494))</f>
        <v/>
      </c>
      <c r="K494" s="28" t="s">
        <v>512</v>
      </c>
    </row>
    <row r="495" spans="3:11" ht="13.5" customHeight="1" x14ac:dyDescent="0.4">
      <c r="C495" s="26">
        <v>2</v>
      </c>
      <c r="D495" s="26" t="s">
        <v>24</v>
      </c>
      <c r="E495" s="26">
        <v>189</v>
      </c>
      <c r="F495" s="26">
        <v>807</v>
      </c>
      <c r="G495" s="22">
        <f t="shared" si="23"/>
        <v>517914</v>
      </c>
      <c r="H495" s="18" t="str">
        <f t="shared" si="21"/>
        <v/>
      </c>
      <c r="I495" s="22" t="str">
        <f t="shared" si="22"/>
        <v/>
      </c>
      <c r="J495" s="20" t="str">
        <f>IF(I495="", "", COUNT($I$12:$I495))</f>
        <v/>
      </c>
      <c r="K495" s="28" t="s">
        <v>513</v>
      </c>
    </row>
    <row r="496" spans="3:11" ht="13.5" customHeight="1" x14ac:dyDescent="0.4">
      <c r="C496" s="26">
        <v>2</v>
      </c>
      <c r="D496" s="26" t="s">
        <v>24</v>
      </c>
      <c r="E496" s="26">
        <v>190</v>
      </c>
      <c r="F496" s="26">
        <v>1309</v>
      </c>
      <c r="G496" s="22">
        <f t="shared" si="23"/>
        <v>519223</v>
      </c>
      <c r="H496" s="18" t="str">
        <f t="shared" si="21"/>
        <v/>
      </c>
      <c r="I496" s="22" t="str">
        <f t="shared" si="22"/>
        <v/>
      </c>
      <c r="J496" s="20" t="str">
        <f>IF(I496="", "", COUNT($I$12:$I496))</f>
        <v/>
      </c>
      <c r="K496" s="28" t="s">
        <v>514</v>
      </c>
    </row>
    <row r="497" spans="3:11" ht="13.5" customHeight="1" x14ac:dyDescent="0.4">
      <c r="C497" s="26">
        <v>2</v>
      </c>
      <c r="D497" s="26" t="s">
        <v>24</v>
      </c>
      <c r="E497" s="26">
        <v>191</v>
      </c>
      <c r="F497" s="26">
        <v>983</v>
      </c>
      <c r="G497" s="22">
        <f t="shared" si="23"/>
        <v>520206</v>
      </c>
      <c r="H497" s="18" t="str">
        <f t="shared" si="21"/>
        <v/>
      </c>
      <c r="I497" s="22" t="str">
        <f t="shared" si="22"/>
        <v/>
      </c>
      <c r="J497" s="20" t="str">
        <f>IF(I497="", "", COUNT($I$12:$I497))</f>
        <v/>
      </c>
      <c r="K497" s="28" t="s">
        <v>515</v>
      </c>
    </row>
    <row r="498" spans="3:11" ht="13.5" customHeight="1" x14ac:dyDescent="0.4">
      <c r="C498" s="26">
        <v>2</v>
      </c>
      <c r="D498" s="26" t="s">
        <v>24</v>
      </c>
      <c r="E498" s="26">
        <v>192</v>
      </c>
      <c r="F498" s="26">
        <v>1512</v>
      </c>
      <c r="G498" s="22">
        <f t="shared" si="23"/>
        <v>521718</v>
      </c>
      <c r="H498" s="18" t="str">
        <f t="shared" si="21"/>
        <v/>
      </c>
      <c r="I498" s="22" t="str">
        <f t="shared" si="22"/>
        <v/>
      </c>
      <c r="J498" s="20" t="str">
        <f>IF(I498="", "", COUNT($I$12:$I498))</f>
        <v/>
      </c>
      <c r="K498" s="28" t="s">
        <v>516</v>
      </c>
    </row>
    <row r="499" spans="3:11" ht="13.5" customHeight="1" x14ac:dyDescent="0.4">
      <c r="C499" s="26">
        <v>2</v>
      </c>
      <c r="D499" s="26" t="s">
        <v>24</v>
      </c>
      <c r="E499" s="26">
        <v>193</v>
      </c>
      <c r="F499" s="26">
        <v>1046</v>
      </c>
      <c r="G499" s="22">
        <f t="shared" si="23"/>
        <v>522764</v>
      </c>
      <c r="H499" s="18">
        <f t="shared" si="21"/>
        <v>522350.86021505372</v>
      </c>
      <c r="I499" s="22">
        <f t="shared" si="22"/>
        <v>632.860215053719</v>
      </c>
      <c r="J499" s="20">
        <f>IF(I499="", "", COUNT($I$12:$I499))</f>
        <v>55</v>
      </c>
      <c r="K499" s="28" t="s">
        <v>517</v>
      </c>
    </row>
    <row r="500" spans="3:11" ht="13.5" customHeight="1" x14ac:dyDescent="0.4">
      <c r="C500" s="26">
        <v>2</v>
      </c>
      <c r="D500" s="26" t="s">
        <v>24</v>
      </c>
      <c r="E500" s="26">
        <v>194</v>
      </c>
      <c r="F500" s="26">
        <v>1064</v>
      </c>
      <c r="G500" s="22">
        <f t="shared" si="23"/>
        <v>523828</v>
      </c>
      <c r="H500" s="18" t="str">
        <f t="shared" si="21"/>
        <v/>
      </c>
      <c r="I500" s="22" t="str">
        <f t="shared" si="22"/>
        <v/>
      </c>
      <c r="J500" s="20" t="str">
        <f>IF(I500="", "", COUNT($I$12:$I500))</f>
        <v/>
      </c>
      <c r="K500" s="28" t="s">
        <v>518</v>
      </c>
    </row>
    <row r="501" spans="3:11" ht="13.5" customHeight="1" x14ac:dyDescent="0.4">
      <c r="C501" s="26">
        <v>2</v>
      </c>
      <c r="D501" s="26" t="s">
        <v>24</v>
      </c>
      <c r="E501" s="26">
        <v>195</v>
      </c>
      <c r="F501" s="26">
        <v>1254</v>
      </c>
      <c r="G501" s="22">
        <f t="shared" si="23"/>
        <v>525082</v>
      </c>
      <c r="H501" s="18" t="str">
        <f t="shared" si="21"/>
        <v/>
      </c>
      <c r="I501" s="22" t="str">
        <f t="shared" si="22"/>
        <v/>
      </c>
      <c r="J501" s="20" t="str">
        <f>IF(I501="", "", COUNT($I$12:$I501))</f>
        <v/>
      </c>
      <c r="K501" s="28" t="s">
        <v>519</v>
      </c>
    </row>
    <row r="502" spans="3:11" ht="13.5" customHeight="1" x14ac:dyDescent="0.4">
      <c r="C502" s="26">
        <v>2</v>
      </c>
      <c r="D502" s="26" t="s">
        <v>24</v>
      </c>
      <c r="E502" s="26">
        <v>196</v>
      </c>
      <c r="F502" s="26">
        <v>1371</v>
      </c>
      <c r="G502" s="22">
        <f t="shared" si="23"/>
        <v>526453</v>
      </c>
      <c r="H502" s="18" t="str">
        <f t="shared" si="21"/>
        <v/>
      </c>
      <c r="I502" s="22" t="str">
        <f t="shared" si="22"/>
        <v/>
      </c>
      <c r="J502" s="20" t="str">
        <f>IF(I502="", "", COUNT($I$12:$I502))</f>
        <v/>
      </c>
      <c r="K502" s="28" t="s">
        <v>520</v>
      </c>
    </row>
    <row r="503" spans="3:11" ht="13.5" customHeight="1" x14ac:dyDescent="0.4">
      <c r="C503" s="26">
        <v>2</v>
      </c>
      <c r="D503" s="26" t="s">
        <v>24</v>
      </c>
      <c r="E503" s="26">
        <v>197</v>
      </c>
      <c r="F503" s="26">
        <v>1383</v>
      </c>
      <c r="G503" s="22">
        <f t="shared" si="23"/>
        <v>527836</v>
      </c>
      <c r="H503" s="18" t="str">
        <f t="shared" si="21"/>
        <v/>
      </c>
      <c r="I503" s="22" t="str">
        <f t="shared" si="22"/>
        <v/>
      </c>
      <c r="J503" s="20" t="str">
        <f>IF(I503="", "", COUNT($I$12:$I503))</f>
        <v/>
      </c>
      <c r="K503" s="28" t="s">
        <v>521</v>
      </c>
    </row>
    <row r="504" spans="3:11" ht="13.5" customHeight="1" x14ac:dyDescent="0.4">
      <c r="C504" s="26">
        <v>2</v>
      </c>
      <c r="D504" s="26" t="s">
        <v>24</v>
      </c>
      <c r="E504" s="26">
        <v>198</v>
      </c>
      <c r="F504" s="26">
        <v>981</v>
      </c>
      <c r="G504" s="22">
        <f t="shared" si="23"/>
        <v>528817</v>
      </c>
      <c r="H504" s="18" t="str">
        <f t="shared" si="21"/>
        <v/>
      </c>
      <c r="I504" s="22" t="str">
        <f t="shared" si="22"/>
        <v/>
      </c>
      <c r="J504" s="20" t="str">
        <f>IF(I504="", "", COUNT($I$12:$I504))</f>
        <v/>
      </c>
      <c r="K504" s="28" t="s">
        <v>522</v>
      </c>
    </row>
    <row r="505" spans="3:11" ht="13.5" customHeight="1" x14ac:dyDescent="0.4">
      <c r="C505" s="26">
        <v>2</v>
      </c>
      <c r="D505" s="26" t="s">
        <v>24</v>
      </c>
      <c r="E505" s="26">
        <v>199</v>
      </c>
      <c r="F505" s="26">
        <v>899</v>
      </c>
      <c r="G505" s="22">
        <f t="shared" si="23"/>
        <v>529716</v>
      </c>
      <c r="H505" s="18" t="str">
        <f t="shared" si="21"/>
        <v/>
      </c>
      <c r="I505" s="22" t="str">
        <f t="shared" si="22"/>
        <v/>
      </c>
      <c r="J505" s="20" t="str">
        <f>IF(I505="", "", COUNT($I$12:$I505))</f>
        <v/>
      </c>
      <c r="K505" s="28" t="s">
        <v>523</v>
      </c>
    </row>
    <row r="506" spans="3:11" ht="13.5" customHeight="1" x14ac:dyDescent="0.4">
      <c r="C506" s="26">
        <v>2</v>
      </c>
      <c r="D506" s="26" t="s">
        <v>24</v>
      </c>
      <c r="E506" s="26">
        <v>200</v>
      </c>
      <c r="F506" s="26">
        <v>1505</v>
      </c>
      <c r="G506" s="22">
        <f t="shared" si="23"/>
        <v>531221</v>
      </c>
      <c r="H506" s="18" t="str">
        <f t="shared" si="21"/>
        <v/>
      </c>
      <c r="I506" s="22" t="str">
        <f t="shared" si="22"/>
        <v/>
      </c>
      <c r="J506" s="20" t="str">
        <f>IF(I506="", "", COUNT($I$12:$I506))</f>
        <v/>
      </c>
      <c r="K506" s="28" t="s">
        <v>524</v>
      </c>
    </row>
    <row r="507" spans="3:11" ht="13.5" customHeight="1" x14ac:dyDescent="0.4">
      <c r="C507" s="26">
        <v>2</v>
      </c>
      <c r="D507" s="26" t="s">
        <v>24</v>
      </c>
      <c r="E507" s="26">
        <v>201</v>
      </c>
      <c r="F507" s="26">
        <v>1012</v>
      </c>
      <c r="G507" s="22">
        <f t="shared" si="23"/>
        <v>532233</v>
      </c>
      <c r="H507" s="18">
        <f t="shared" si="21"/>
        <v>531847.78494623653</v>
      </c>
      <c r="I507" s="22">
        <f t="shared" si="22"/>
        <v>626.78494623652659</v>
      </c>
      <c r="J507" s="20">
        <f>IF(I507="", "", COUNT($I$12:$I507))</f>
        <v>56</v>
      </c>
      <c r="K507" s="28" t="s">
        <v>525</v>
      </c>
    </row>
    <row r="508" spans="3:11" ht="13.5" customHeight="1" x14ac:dyDescent="0.4">
      <c r="C508" s="26">
        <v>2</v>
      </c>
      <c r="D508" s="26" t="s">
        <v>24</v>
      </c>
      <c r="E508" s="26">
        <v>202</v>
      </c>
      <c r="F508" s="26">
        <v>1138</v>
      </c>
      <c r="G508" s="22">
        <f t="shared" si="23"/>
        <v>533371</v>
      </c>
      <c r="H508" s="18" t="str">
        <f t="shared" si="21"/>
        <v/>
      </c>
      <c r="I508" s="22" t="str">
        <f t="shared" si="22"/>
        <v/>
      </c>
      <c r="J508" s="20" t="str">
        <f>IF(I508="", "", COUNT($I$12:$I508))</f>
        <v/>
      </c>
      <c r="K508" s="28" t="s">
        <v>526</v>
      </c>
    </row>
    <row r="509" spans="3:11" ht="13.5" customHeight="1" x14ac:dyDescent="0.4">
      <c r="C509" s="26">
        <v>2</v>
      </c>
      <c r="D509" s="26" t="s">
        <v>24</v>
      </c>
      <c r="E509" s="26">
        <v>203</v>
      </c>
      <c r="F509" s="26">
        <v>1102</v>
      </c>
      <c r="G509" s="22">
        <f t="shared" si="23"/>
        <v>534473</v>
      </c>
      <c r="H509" s="18" t="str">
        <f t="shared" si="21"/>
        <v/>
      </c>
      <c r="I509" s="22" t="str">
        <f t="shared" si="22"/>
        <v/>
      </c>
      <c r="J509" s="20" t="str">
        <f>IF(I509="", "", COUNT($I$12:$I509))</f>
        <v/>
      </c>
      <c r="K509" s="28" t="s">
        <v>527</v>
      </c>
    </row>
    <row r="510" spans="3:11" ht="13.5" customHeight="1" x14ac:dyDescent="0.4">
      <c r="C510" s="26">
        <v>2</v>
      </c>
      <c r="D510" s="26" t="s">
        <v>24</v>
      </c>
      <c r="E510" s="26">
        <v>204</v>
      </c>
      <c r="F510" s="26">
        <v>1496</v>
      </c>
      <c r="G510" s="22">
        <f t="shared" si="23"/>
        <v>535969</v>
      </c>
      <c r="H510" s="18" t="str">
        <f t="shared" si="21"/>
        <v/>
      </c>
      <c r="I510" s="22" t="str">
        <f t="shared" si="22"/>
        <v/>
      </c>
      <c r="J510" s="20" t="str">
        <f>IF(I510="", "", COUNT($I$12:$I510))</f>
        <v/>
      </c>
      <c r="K510" s="28" t="s">
        <v>528</v>
      </c>
    </row>
    <row r="511" spans="3:11" ht="13.5" customHeight="1" x14ac:dyDescent="0.4">
      <c r="C511" s="26">
        <v>2</v>
      </c>
      <c r="D511" s="26" t="s">
        <v>24</v>
      </c>
      <c r="E511" s="26">
        <v>205</v>
      </c>
      <c r="F511" s="26">
        <v>1331</v>
      </c>
      <c r="G511" s="22">
        <f t="shared" si="23"/>
        <v>537300</v>
      </c>
      <c r="H511" s="18" t="str">
        <f t="shared" si="21"/>
        <v/>
      </c>
      <c r="I511" s="22" t="str">
        <f t="shared" si="22"/>
        <v/>
      </c>
      <c r="J511" s="20" t="str">
        <f>IF(I511="", "", COUNT($I$12:$I511))</f>
        <v/>
      </c>
      <c r="K511" s="28" t="s">
        <v>529</v>
      </c>
    </row>
    <row r="512" spans="3:11" ht="13.5" customHeight="1" x14ac:dyDescent="0.4">
      <c r="C512" s="26">
        <v>2</v>
      </c>
      <c r="D512" s="26" t="s">
        <v>24</v>
      </c>
      <c r="E512" s="26">
        <v>206</v>
      </c>
      <c r="F512" s="26">
        <v>1380</v>
      </c>
      <c r="G512" s="22">
        <f t="shared" si="23"/>
        <v>538680</v>
      </c>
      <c r="H512" s="18" t="str">
        <f t="shared" si="21"/>
        <v/>
      </c>
      <c r="I512" s="22" t="str">
        <f t="shared" si="22"/>
        <v/>
      </c>
      <c r="J512" s="20" t="str">
        <f>IF(I512="", "", COUNT($I$12:$I512))</f>
        <v/>
      </c>
      <c r="K512" s="28" t="s">
        <v>530</v>
      </c>
    </row>
    <row r="513" spans="3:11" ht="13.5" customHeight="1" x14ac:dyDescent="0.4">
      <c r="C513" s="26">
        <v>2</v>
      </c>
      <c r="D513" s="26" t="s">
        <v>24</v>
      </c>
      <c r="E513" s="26">
        <v>207</v>
      </c>
      <c r="F513" s="26">
        <v>1520</v>
      </c>
      <c r="G513" s="22">
        <f t="shared" si="23"/>
        <v>540200</v>
      </c>
      <c r="H513" s="18" t="str">
        <f t="shared" si="21"/>
        <v/>
      </c>
      <c r="I513" s="22" t="str">
        <f t="shared" si="22"/>
        <v/>
      </c>
      <c r="J513" s="20" t="str">
        <f>IF(I513="", "", COUNT($I$12:$I513))</f>
        <v/>
      </c>
      <c r="K513" s="28" t="s">
        <v>531</v>
      </c>
    </row>
    <row r="514" spans="3:11" ht="13.5" customHeight="1" x14ac:dyDescent="0.4">
      <c r="C514" s="26">
        <v>2</v>
      </c>
      <c r="D514" s="26" t="s">
        <v>24</v>
      </c>
      <c r="E514" s="26">
        <v>208</v>
      </c>
      <c r="F514" s="26">
        <v>1459</v>
      </c>
      <c r="G514" s="22">
        <f t="shared" si="23"/>
        <v>541659</v>
      </c>
      <c r="H514" s="18">
        <f t="shared" si="21"/>
        <v>541344.70967741928</v>
      </c>
      <c r="I514" s="22">
        <f t="shared" si="22"/>
        <v>1144.709677419276</v>
      </c>
      <c r="J514" s="20">
        <f>IF(I514="", "", COUNT($I$12:$I514))</f>
        <v>57</v>
      </c>
      <c r="K514" s="28" t="s">
        <v>532</v>
      </c>
    </row>
    <row r="515" spans="3:11" ht="13.5" customHeight="1" x14ac:dyDescent="0.4">
      <c r="C515" s="26">
        <v>2</v>
      </c>
      <c r="D515" s="26" t="s">
        <v>24</v>
      </c>
      <c r="E515" s="26">
        <v>209</v>
      </c>
      <c r="F515" s="26">
        <v>1194</v>
      </c>
      <c r="G515" s="22">
        <f t="shared" si="23"/>
        <v>542853</v>
      </c>
      <c r="H515" s="18" t="str">
        <f t="shared" si="21"/>
        <v/>
      </c>
      <c r="I515" s="22" t="str">
        <f t="shared" si="22"/>
        <v/>
      </c>
      <c r="J515" s="20" t="str">
        <f>IF(I515="", "", COUNT($I$12:$I515))</f>
        <v/>
      </c>
      <c r="K515" s="28" t="s">
        <v>533</v>
      </c>
    </row>
    <row r="516" spans="3:11" ht="13.5" customHeight="1" x14ac:dyDescent="0.4">
      <c r="C516" s="26">
        <v>2</v>
      </c>
      <c r="D516" s="26" t="s">
        <v>24</v>
      </c>
      <c r="E516" s="26">
        <v>210</v>
      </c>
      <c r="F516" s="26">
        <v>1274</v>
      </c>
      <c r="G516" s="22">
        <f t="shared" si="23"/>
        <v>544127</v>
      </c>
      <c r="H516" s="18" t="str">
        <f t="shared" si="21"/>
        <v/>
      </c>
      <c r="I516" s="22" t="str">
        <f t="shared" si="22"/>
        <v/>
      </c>
      <c r="J516" s="20" t="str">
        <f>IF(I516="", "", COUNT($I$12:$I516))</f>
        <v/>
      </c>
      <c r="K516" s="28" t="s">
        <v>534</v>
      </c>
    </row>
    <row r="517" spans="3:11" ht="13.5" customHeight="1" x14ac:dyDescent="0.4">
      <c r="C517" s="26">
        <v>2</v>
      </c>
      <c r="D517" s="26" t="s">
        <v>24</v>
      </c>
      <c r="E517" s="26">
        <v>211</v>
      </c>
      <c r="F517" s="26">
        <v>1305</v>
      </c>
      <c r="G517" s="22">
        <f t="shared" si="23"/>
        <v>545432</v>
      </c>
      <c r="H517" s="18" t="str">
        <f t="shared" si="21"/>
        <v/>
      </c>
      <c r="I517" s="22" t="str">
        <f t="shared" si="22"/>
        <v/>
      </c>
      <c r="J517" s="20" t="str">
        <f>IF(I517="", "", COUNT($I$12:$I517))</f>
        <v/>
      </c>
      <c r="K517" s="28" t="s">
        <v>535</v>
      </c>
    </row>
    <row r="518" spans="3:11" ht="13.5" customHeight="1" x14ac:dyDescent="0.4">
      <c r="C518" s="26">
        <v>2</v>
      </c>
      <c r="D518" s="26" t="s">
        <v>24</v>
      </c>
      <c r="E518" s="26">
        <v>212</v>
      </c>
      <c r="F518" s="26">
        <v>1445</v>
      </c>
      <c r="G518" s="22">
        <f t="shared" si="23"/>
        <v>546877</v>
      </c>
      <c r="H518" s="18" t="str">
        <f t="shared" si="21"/>
        <v/>
      </c>
      <c r="I518" s="22" t="str">
        <f t="shared" si="22"/>
        <v/>
      </c>
      <c r="J518" s="20" t="str">
        <f>IF(I518="", "", COUNT($I$12:$I518))</f>
        <v/>
      </c>
      <c r="K518" s="28" t="s">
        <v>536</v>
      </c>
    </row>
    <row r="519" spans="3:11" ht="13.5" customHeight="1" x14ac:dyDescent="0.4">
      <c r="C519" s="26">
        <v>2</v>
      </c>
      <c r="D519" s="26" t="s">
        <v>24</v>
      </c>
      <c r="E519" s="26">
        <v>213</v>
      </c>
      <c r="F519" s="26">
        <v>1311</v>
      </c>
      <c r="G519" s="22">
        <f t="shared" si="23"/>
        <v>548188</v>
      </c>
      <c r="H519" s="18" t="str">
        <f t="shared" si="21"/>
        <v/>
      </c>
      <c r="I519" s="22" t="str">
        <f t="shared" si="22"/>
        <v/>
      </c>
      <c r="J519" s="20" t="str">
        <f>IF(I519="", "", COUNT($I$12:$I519))</f>
        <v/>
      </c>
      <c r="K519" s="28" t="s">
        <v>537</v>
      </c>
    </row>
    <row r="520" spans="3:11" ht="13.5" customHeight="1" x14ac:dyDescent="0.4">
      <c r="C520" s="26">
        <v>2</v>
      </c>
      <c r="D520" s="26" t="s">
        <v>24</v>
      </c>
      <c r="E520" s="26">
        <v>214</v>
      </c>
      <c r="F520" s="26">
        <v>1477</v>
      </c>
      <c r="G520" s="22">
        <f t="shared" si="23"/>
        <v>549665</v>
      </c>
      <c r="H520" s="18" t="str">
        <f t="shared" si="21"/>
        <v/>
      </c>
      <c r="I520" s="22" t="str">
        <f t="shared" si="22"/>
        <v/>
      </c>
      <c r="J520" s="20" t="str">
        <f>IF(I520="", "", COUNT($I$12:$I520))</f>
        <v/>
      </c>
      <c r="K520" s="28" t="s">
        <v>538</v>
      </c>
    </row>
    <row r="521" spans="3:11" ht="13.5" customHeight="1" x14ac:dyDescent="0.4">
      <c r="C521" s="26">
        <v>2</v>
      </c>
      <c r="D521" s="26" t="s">
        <v>24</v>
      </c>
      <c r="E521" s="26">
        <v>215</v>
      </c>
      <c r="F521" s="26">
        <v>1167</v>
      </c>
      <c r="G521" s="22">
        <f t="shared" si="23"/>
        <v>550832</v>
      </c>
      <c r="H521" s="18" t="str">
        <f t="shared" si="21"/>
        <v/>
      </c>
      <c r="I521" s="22" t="str">
        <f t="shared" si="22"/>
        <v/>
      </c>
      <c r="J521" s="20" t="str">
        <f>IF(I521="", "", COUNT($I$12:$I521))</f>
        <v/>
      </c>
      <c r="K521" s="28" t="s">
        <v>539</v>
      </c>
    </row>
    <row r="522" spans="3:11" ht="13.5" customHeight="1" x14ac:dyDescent="0.4">
      <c r="C522" s="26">
        <v>2</v>
      </c>
      <c r="D522" s="26" t="s">
        <v>24</v>
      </c>
      <c r="E522" s="26">
        <v>216</v>
      </c>
      <c r="F522" s="26">
        <v>1253</v>
      </c>
      <c r="G522" s="22">
        <f t="shared" si="23"/>
        <v>552085</v>
      </c>
      <c r="H522" s="18">
        <f t="shared" si="21"/>
        <v>550841.63440860214</v>
      </c>
      <c r="I522" s="22">
        <f t="shared" si="22"/>
        <v>9.6344086021417752</v>
      </c>
      <c r="J522" s="20">
        <f>IF(I522="", "", COUNT($I$12:$I522))</f>
        <v>58</v>
      </c>
      <c r="K522" s="28" t="s">
        <v>540</v>
      </c>
    </row>
    <row r="523" spans="3:11" ht="13.5" customHeight="1" x14ac:dyDescent="0.4">
      <c r="C523" s="26">
        <v>2</v>
      </c>
      <c r="D523" s="26" t="s">
        <v>24</v>
      </c>
      <c r="E523" s="26">
        <v>217</v>
      </c>
      <c r="F523" s="26">
        <v>1402</v>
      </c>
      <c r="G523" s="22">
        <f t="shared" si="23"/>
        <v>553487</v>
      </c>
      <c r="H523" s="18" t="str">
        <f t="shared" si="21"/>
        <v/>
      </c>
      <c r="I523" s="22" t="str">
        <f t="shared" si="22"/>
        <v/>
      </c>
      <c r="J523" s="20" t="str">
        <f>IF(I523="", "", COUNT($I$12:$I523))</f>
        <v/>
      </c>
      <c r="K523" s="28" t="s">
        <v>541</v>
      </c>
    </row>
    <row r="524" spans="3:11" ht="13.5" customHeight="1" x14ac:dyDescent="0.4">
      <c r="C524" s="26">
        <v>2</v>
      </c>
      <c r="D524" s="26" t="s">
        <v>24</v>
      </c>
      <c r="E524" s="26">
        <v>218</v>
      </c>
      <c r="F524" s="26">
        <v>902</v>
      </c>
      <c r="G524" s="22">
        <f t="shared" si="23"/>
        <v>554389</v>
      </c>
      <c r="H524" s="18" t="str">
        <f t="shared" ref="H524:H587" si="24">IF(AND(G524 &gt;= ($D$5 + ($C$5 * (INT((G524 - $D$5)/$C$5)))), G523 &lt; ($D$5 + ($C$5 * (INT((G524 - $D$5)/$C$5))))), $D$5 + ($C$5 * INT((G524 - $D$5)/$C$5)), "")</f>
        <v/>
      </c>
      <c r="I524" s="22" t="str">
        <f t="shared" ref="I524:I587" si="25">IFERROR(H524-G523, "")</f>
        <v/>
      </c>
      <c r="J524" s="20" t="str">
        <f>IF(I524="", "", COUNT($I$12:$I524))</f>
        <v/>
      </c>
      <c r="K524" s="28" t="s">
        <v>542</v>
      </c>
    </row>
    <row r="525" spans="3:11" ht="13.5" customHeight="1" x14ac:dyDescent="0.4">
      <c r="C525" s="26">
        <v>2</v>
      </c>
      <c r="D525" s="26" t="s">
        <v>24</v>
      </c>
      <c r="E525" s="26">
        <v>219</v>
      </c>
      <c r="F525" s="26">
        <v>1206</v>
      </c>
      <c r="G525" s="22">
        <f t="shared" si="23"/>
        <v>555595</v>
      </c>
      <c r="H525" s="18" t="str">
        <f t="shared" si="24"/>
        <v/>
      </c>
      <c r="I525" s="22" t="str">
        <f t="shared" si="25"/>
        <v/>
      </c>
      <c r="J525" s="20" t="str">
        <f>IF(I525="", "", COUNT($I$12:$I525))</f>
        <v/>
      </c>
      <c r="K525" s="28" t="s">
        <v>543</v>
      </c>
    </row>
    <row r="526" spans="3:11" ht="13.5" customHeight="1" x14ac:dyDescent="0.4">
      <c r="C526" s="26">
        <v>2</v>
      </c>
      <c r="D526" s="26" t="s">
        <v>24</v>
      </c>
      <c r="E526" s="26">
        <v>220</v>
      </c>
      <c r="F526" s="26">
        <v>1502</v>
      </c>
      <c r="G526" s="22">
        <f t="shared" ref="G526:G589" si="26">G525+F526</f>
        <v>557097</v>
      </c>
      <c r="H526" s="18" t="str">
        <f t="shared" si="24"/>
        <v/>
      </c>
      <c r="I526" s="22" t="str">
        <f t="shared" si="25"/>
        <v/>
      </c>
      <c r="J526" s="20" t="str">
        <f>IF(I526="", "", COUNT($I$12:$I526))</f>
        <v/>
      </c>
      <c r="K526" s="28" t="s">
        <v>544</v>
      </c>
    </row>
    <row r="527" spans="3:11" ht="13.5" customHeight="1" x14ac:dyDescent="0.4">
      <c r="C527" s="26">
        <v>2</v>
      </c>
      <c r="D527" s="26" t="s">
        <v>24</v>
      </c>
      <c r="E527" s="26">
        <v>221</v>
      </c>
      <c r="F527" s="26">
        <v>1407</v>
      </c>
      <c r="G527" s="22">
        <f t="shared" si="26"/>
        <v>558504</v>
      </c>
      <c r="H527" s="18" t="str">
        <f t="shared" si="24"/>
        <v/>
      </c>
      <c r="I527" s="22" t="str">
        <f t="shared" si="25"/>
        <v/>
      </c>
      <c r="J527" s="20" t="str">
        <f>IF(I527="", "", COUNT($I$12:$I527))</f>
        <v/>
      </c>
      <c r="K527" s="28" t="s">
        <v>545</v>
      </c>
    </row>
    <row r="528" spans="3:11" ht="13.5" customHeight="1" x14ac:dyDescent="0.4">
      <c r="C528" s="26">
        <v>2</v>
      </c>
      <c r="D528" s="26" t="s">
        <v>24</v>
      </c>
      <c r="E528" s="26">
        <v>222</v>
      </c>
      <c r="F528" s="26">
        <v>1325</v>
      </c>
      <c r="G528" s="22">
        <f t="shared" si="26"/>
        <v>559829</v>
      </c>
      <c r="H528" s="18" t="str">
        <f t="shared" si="24"/>
        <v/>
      </c>
      <c r="I528" s="22" t="str">
        <f t="shared" si="25"/>
        <v/>
      </c>
      <c r="J528" s="20" t="str">
        <f>IF(I528="", "", COUNT($I$12:$I528))</f>
        <v/>
      </c>
      <c r="K528" s="28" t="s">
        <v>546</v>
      </c>
    </row>
    <row r="529" spans="3:11" ht="13.5" customHeight="1" x14ac:dyDescent="0.4">
      <c r="C529" s="26">
        <v>2</v>
      </c>
      <c r="D529" s="26" t="s">
        <v>24</v>
      </c>
      <c r="E529" s="26">
        <v>223</v>
      </c>
      <c r="F529" s="26">
        <v>1407</v>
      </c>
      <c r="G529" s="22">
        <f t="shared" si="26"/>
        <v>561236</v>
      </c>
      <c r="H529" s="18">
        <f t="shared" si="24"/>
        <v>560338.55913978489</v>
      </c>
      <c r="I529" s="22">
        <f t="shared" si="25"/>
        <v>509.55913978489116</v>
      </c>
      <c r="J529" s="20">
        <f>IF(I529="", "", COUNT($I$12:$I529))</f>
        <v>59</v>
      </c>
      <c r="K529" s="28" t="s">
        <v>547</v>
      </c>
    </row>
    <row r="530" spans="3:11" ht="13.5" customHeight="1" x14ac:dyDescent="0.4">
      <c r="C530" s="26">
        <v>2</v>
      </c>
      <c r="D530" s="26" t="s">
        <v>24</v>
      </c>
      <c r="E530" s="26">
        <v>224</v>
      </c>
      <c r="F530" s="26">
        <v>1113</v>
      </c>
      <c r="G530" s="22">
        <f t="shared" si="26"/>
        <v>562349</v>
      </c>
      <c r="H530" s="18" t="str">
        <f t="shared" si="24"/>
        <v/>
      </c>
      <c r="I530" s="22" t="str">
        <f t="shared" si="25"/>
        <v/>
      </c>
      <c r="J530" s="20" t="str">
        <f>IF(I530="", "", COUNT($I$12:$I530))</f>
        <v/>
      </c>
      <c r="K530" s="28" t="s">
        <v>548</v>
      </c>
    </row>
    <row r="531" spans="3:11" ht="13.5" customHeight="1" x14ac:dyDescent="0.4">
      <c r="C531" s="26">
        <v>2</v>
      </c>
      <c r="D531" s="26" t="s">
        <v>24</v>
      </c>
      <c r="E531" s="26">
        <v>225</v>
      </c>
      <c r="F531" s="26">
        <v>934</v>
      </c>
      <c r="G531" s="22">
        <f t="shared" si="26"/>
        <v>563283</v>
      </c>
      <c r="H531" s="18" t="str">
        <f t="shared" si="24"/>
        <v/>
      </c>
      <c r="I531" s="22" t="str">
        <f t="shared" si="25"/>
        <v/>
      </c>
      <c r="J531" s="20" t="str">
        <f>IF(I531="", "", COUNT($I$12:$I531))</f>
        <v/>
      </c>
      <c r="K531" s="28" t="s">
        <v>549</v>
      </c>
    </row>
    <row r="532" spans="3:11" ht="13.5" customHeight="1" x14ac:dyDescent="0.4">
      <c r="C532" s="26">
        <v>2</v>
      </c>
      <c r="D532" s="26" t="s">
        <v>24</v>
      </c>
      <c r="E532" s="26">
        <v>226</v>
      </c>
      <c r="F532" s="26">
        <v>1374</v>
      </c>
      <c r="G532" s="22">
        <f t="shared" si="26"/>
        <v>564657</v>
      </c>
      <c r="H532" s="18" t="str">
        <f t="shared" si="24"/>
        <v/>
      </c>
      <c r="I532" s="22" t="str">
        <f t="shared" si="25"/>
        <v/>
      </c>
      <c r="J532" s="20" t="str">
        <f>IF(I532="", "", COUNT($I$12:$I532))</f>
        <v/>
      </c>
      <c r="K532" s="28" t="s">
        <v>550</v>
      </c>
    </row>
    <row r="533" spans="3:11" ht="13.5" customHeight="1" x14ac:dyDescent="0.4">
      <c r="C533" s="26">
        <v>2</v>
      </c>
      <c r="D533" s="26" t="s">
        <v>24</v>
      </c>
      <c r="E533" s="26">
        <v>227</v>
      </c>
      <c r="F533" s="26">
        <v>1298</v>
      </c>
      <c r="G533" s="22">
        <f t="shared" si="26"/>
        <v>565955</v>
      </c>
      <c r="H533" s="18" t="str">
        <f t="shared" si="24"/>
        <v/>
      </c>
      <c r="I533" s="22" t="str">
        <f t="shared" si="25"/>
        <v/>
      </c>
      <c r="J533" s="20" t="str">
        <f>IF(I533="", "", COUNT($I$12:$I533))</f>
        <v/>
      </c>
      <c r="K533" s="28" t="s">
        <v>551</v>
      </c>
    </row>
    <row r="534" spans="3:11" ht="13.5" customHeight="1" x14ac:dyDescent="0.4">
      <c r="C534" s="26">
        <v>2</v>
      </c>
      <c r="D534" s="26" t="s">
        <v>24</v>
      </c>
      <c r="E534" s="26">
        <v>228</v>
      </c>
      <c r="F534" s="26">
        <v>1216</v>
      </c>
      <c r="G534" s="22">
        <f t="shared" si="26"/>
        <v>567171</v>
      </c>
      <c r="H534" s="18" t="str">
        <f t="shared" si="24"/>
        <v/>
      </c>
      <c r="I534" s="22" t="str">
        <f t="shared" si="25"/>
        <v/>
      </c>
      <c r="J534" s="20" t="str">
        <f>IF(I534="", "", COUNT($I$12:$I534))</f>
        <v/>
      </c>
      <c r="K534" s="28" t="s">
        <v>552</v>
      </c>
    </row>
    <row r="535" spans="3:11" ht="13.5" customHeight="1" x14ac:dyDescent="0.4">
      <c r="C535" s="26">
        <v>2</v>
      </c>
      <c r="D535" s="26" t="s">
        <v>24</v>
      </c>
      <c r="E535" s="26">
        <v>229</v>
      </c>
      <c r="F535" s="26">
        <v>1407</v>
      </c>
      <c r="G535" s="22">
        <f t="shared" si="26"/>
        <v>568578</v>
      </c>
      <c r="H535" s="18" t="str">
        <f t="shared" si="24"/>
        <v/>
      </c>
      <c r="I535" s="22" t="str">
        <f t="shared" si="25"/>
        <v/>
      </c>
      <c r="J535" s="20" t="str">
        <f>IF(I535="", "", COUNT($I$12:$I535))</f>
        <v/>
      </c>
      <c r="K535" s="28" t="s">
        <v>553</v>
      </c>
    </row>
    <row r="536" spans="3:11" ht="13.5" customHeight="1" x14ac:dyDescent="0.4">
      <c r="C536" s="26">
        <v>2</v>
      </c>
      <c r="D536" s="26" t="s">
        <v>24</v>
      </c>
      <c r="E536" s="26">
        <v>230</v>
      </c>
      <c r="F536" s="26">
        <v>1087</v>
      </c>
      <c r="G536" s="22">
        <f t="shared" si="26"/>
        <v>569665</v>
      </c>
      <c r="H536" s="18" t="str">
        <f t="shared" si="24"/>
        <v/>
      </c>
      <c r="I536" s="22" t="str">
        <f t="shared" si="25"/>
        <v/>
      </c>
      <c r="J536" s="20" t="str">
        <f>IF(I536="", "", COUNT($I$12:$I536))</f>
        <v/>
      </c>
      <c r="K536" s="28" t="s">
        <v>554</v>
      </c>
    </row>
    <row r="537" spans="3:11" ht="13.5" customHeight="1" x14ac:dyDescent="0.4">
      <c r="C537" s="26">
        <v>2</v>
      </c>
      <c r="D537" s="26" t="s">
        <v>24</v>
      </c>
      <c r="E537" s="26">
        <v>231</v>
      </c>
      <c r="F537" s="26">
        <v>1021</v>
      </c>
      <c r="G537" s="22">
        <f t="shared" si="26"/>
        <v>570686</v>
      </c>
      <c r="H537" s="18">
        <f t="shared" si="24"/>
        <v>569835.48387096764</v>
      </c>
      <c r="I537" s="22">
        <f t="shared" si="25"/>
        <v>170.48387096764054</v>
      </c>
      <c r="J537" s="20">
        <f>IF(I537="", "", COUNT($I$12:$I537))</f>
        <v>60</v>
      </c>
      <c r="K537" s="28" t="s">
        <v>555</v>
      </c>
    </row>
    <row r="538" spans="3:11" ht="13.5" customHeight="1" x14ac:dyDescent="0.4">
      <c r="C538" s="26">
        <v>2</v>
      </c>
      <c r="D538" s="26" t="s">
        <v>24</v>
      </c>
      <c r="E538" s="26">
        <v>232</v>
      </c>
      <c r="F538" s="26">
        <v>845</v>
      </c>
      <c r="G538" s="22">
        <f t="shared" si="26"/>
        <v>571531</v>
      </c>
      <c r="H538" s="18" t="str">
        <f t="shared" si="24"/>
        <v/>
      </c>
      <c r="I538" s="22" t="str">
        <f t="shared" si="25"/>
        <v/>
      </c>
      <c r="J538" s="20" t="str">
        <f>IF(I538="", "", COUNT($I$12:$I538))</f>
        <v/>
      </c>
      <c r="K538" s="28" t="s">
        <v>556</v>
      </c>
    </row>
    <row r="539" spans="3:11" ht="13.5" customHeight="1" x14ac:dyDescent="0.4">
      <c r="C539" s="26">
        <v>2</v>
      </c>
      <c r="D539" s="26" t="s">
        <v>24</v>
      </c>
      <c r="E539" s="26">
        <v>233</v>
      </c>
      <c r="F539" s="26">
        <v>1422</v>
      </c>
      <c r="G539" s="22">
        <f t="shared" si="26"/>
        <v>572953</v>
      </c>
      <c r="H539" s="18" t="str">
        <f t="shared" si="24"/>
        <v/>
      </c>
      <c r="I539" s="22" t="str">
        <f t="shared" si="25"/>
        <v/>
      </c>
      <c r="J539" s="20" t="str">
        <f>IF(I539="", "", COUNT($I$12:$I539))</f>
        <v/>
      </c>
      <c r="K539" s="28" t="s">
        <v>557</v>
      </c>
    </row>
    <row r="540" spans="3:11" ht="13.5" customHeight="1" x14ac:dyDescent="0.4">
      <c r="C540" s="26">
        <v>2</v>
      </c>
      <c r="D540" s="26" t="s">
        <v>24</v>
      </c>
      <c r="E540" s="26">
        <v>234</v>
      </c>
      <c r="F540" s="26">
        <v>1489</v>
      </c>
      <c r="G540" s="22">
        <f t="shared" si="26"/>
        <v>574442</v>
      </c>
      <c r="H540" s="18" t="str">
        <f t="shared" si="24"/>
        <v/>
      </c>
      <c r="I540" s="22" t="str">
        <f t="shared" si="25"/>
        <v/>
      </c>
      <c r="J540" s="20" t="str">
        <f>IF(I540="", "", COUNT($I$12:$I540))</f>
        <v/>
      </c>
      <c r="K540" s="28" t="s">
        <v>558</v>
      </c>
    </row>
    <row r="541" spans="3:11" ht="13.5" customHeight="1" x14ac:dyDescent="0.4">
      <c r="C541" s="26">
        <v>2</v>
      </c>
      <c r="D541" s="26" t="s">
        <v>24</v>
      </c>
      <c r="E541" s="26">
        <v>235</v>
      </c>
      <c r="F541" s="26">
        <v>1444</v>
      </c>
      <c r="G541" s="22">
        <f t="shared" si="26"/>
        <v>575886</v>
      </c>
      <c r="H541" s="18" t="str">
        <f t="shared" si="24"/>
        <v/>
      </c>
      <c r="I541" s="22" t="str">
        <f t="shared" si="25"/>
        <v/>
      </c>
      <c r="J541" s="20" t="str">
        <f>IF(I541="", "", COUNT($I$12:$I541))</f>
        <v/>
      </c>
      <c r="K541" s="28" t="s">
        <v>559</v>
      </c>
    </row>
    <row r="542" spans="3:11" ht="13.5" customHeight="1" x14ac:dyDescent="0.4">
      <c r="C542" s="26">
        <v>2</v>
      </c>
      <c r="D542" s="26" t="s">
        <v>24</v>
      </c>
      <c r="E542" s="26">
        <v>236</v>
      </c>
      <c r="F542" s="26">
        <v>1443</v>
      </c>
      <c r="G542" s="22">
        <f t="shared" si="26"/>
        <v>577329</v>
      </c>
      <c r="H542" s="18" t="str">
        <f t="shared" si="24"/>
        <v/>
      </c>
      <c r="I542" s="22" t="str">
        <f t="shared" si="25"/>
        <v/>
      </c>
      <c r="J542" s="20" t="str">
        <f>IF(I542="", "", COUNT($I$12:$I542))</f>
        <v/>
      </c>
      <c r="K542" s="28" t="s">
        <v>560</v>
      </c>
    </row>
    <row r="543" spans="3:11" ht="13.5" customHeight="1" x14ac:dyDescent="0.4">
      <c r="C543" s="26">
        <v>2</v>
      </c>
      <c r="D543" s="26" t="s">
        <v>24</v>
      </c>
      <c r="E543" s="26">
        <v>237</v>
      </c>
      <c r="F543" s="26">
        <v>1270</v>
      </c>
      <c r="G543" s="22">
        <f t="shared" si="26"/>
        <v>578599</v>
      </c>
      <c r="H543" s="18" t="str">
        <f t="shared" si="24"/>
        <v/>
      </c>
      <c r="I543" s="22" t="str">
        <f t="shared" si="25"/>
        <v/>
      </c>
      <c r="J543" s="20" t="str">
        <f>IF(I543="", "", COUNT($I$12:$I543))</f>
        <v/>
      </c>
      <c r="K543" s="28" t="s">
        <v>561</v>
      </c>
    </row>
    <row r="544" spans="3:11" ht="13.5" customHeight="1" x14ac:dyDescent="0.4">
      <c r="C544" s="26">
        <v>2</v>
      </c>
      <c r="D544" s="26" t="s">
        <v>24</v>
      </c>
      <c r="E544" s="26">
        <v>238</v>
      </c>
      <c r="F544" s="26">
        <v>1223</v>
      </c>
      <c r="G544" s="22">
        <f t="shared" si="26"/>
        <v>579822</v>
      </c>
      <c r="H544" s="18">
        <f t="shared" si="24"/>
        <v>579332.40860215051</v>
      </c>
      <c r="I544" s="22">
        <f t="shared" si="25"/>
        <v>733.40860215050634</v>
      </c>
      <c r="J544" s="20">
        <f>IF(I544="", "", COUNT($I$12:$I544))</f>
        <v>61</v>
      </c>
      <c r="K544" s="28" t="s">
        <v>562</v>
      </c>
    </row>
    <row r="545" spans="3:11" ht="13.5" customHeight="1" x14ac:dyDescent="0.4">
      <c r="C545" s="26">
        <v>2</v>
      </c>
      <c r="D545" s="26" t="s">
        <v>24</v>
      </c>
      <c r="E545" s="26">
        <v>239</v>
      </c>
      <c r="F545" s="26">
        <v>1394</v>
      </c>
      <c r="G545" s="22">
        <f t="shared" si="26"/>
        <v>581216</v>
      </c>
      <c r="H545" s="18" t="str">
        <f t="shared" si="24"/>
        <v/>
      </c>
      <c r="I545" s="22" t="str">
        <f t="shared" si="25"/>
        <v/>
      </c>
      <c r="J545" s="20" t="str">
        <f>IF(I545="", "", COUNT($I$12:$I545))</f>
        <v/>
      </c>
      <c r="K545" s="28" t="s">
        <v>563</v>
      </c>
    </row>
    <row r="546" spans="3:11" ht="13.5" customHeight="1" x14ac:dyDescent="0.4">
      <c r="C546" s="26">
        <v>2</v>
      </c>
      <c r="D546" s="26" t="s">
        <v>24</v>
      </c>
      <c r="E546" s="26">
        <v>240</v>
      </c>
      <c r="F546" s="26">
        <v>1344</v>
      </c>
      <c r="G546" s="22">
        <f t="shared" si="26"/>
        <v>582560</v>
      </c>
      <c r="H546" s="18" t="str">
        <f t="shared" si="24"/>
        <v/>
      </c>
      <c r="I546" s="22" t="str">
        <f t="shared" si="25"/>
        <v/>
      </c>
      <c r="J546" s="20" t="str">
        <f>IF(I546="", "", COUNT($I$12:$I546))</f>
        <v/>
      </c>
      <c r="K546" s="28" t="s">
        <v>564</v>
      </c>
    </row>
    <row r="547" spans="3:11" ht="13.5" customHeight="1" x14ac:dyDescent="0.4">
      <c r="C547" s="26">
        <v>2</v>
      </c>
      <c r="D547" s="26" t="s">
        <v>24</v>
      </c>
      <c r="E547" s="26">
        <v>241</v>
      </c>
      <c r="F547" s="26">
        <v>1426</v>
      </c>
      <c r="G547" s="22">
        <f t="shared" si="26"/>
        <v>583986</v>
      </c>
      <c r="H547" s="18" t="str">
        <f t="shared" si="24"/>
        <v/>
      </c>
      <c r="I547" s="22" t="str">
        <f t="shared" si="25"/>
        <v/>
      </c>
      <c r="J547" s="20" t="str">
        <f>IF(I547="", "", COUNT($I$12:$I547))</f>
        <v/>
      </c>
      <c r="K547" s="28" t="s">
        <v>565</v>
      </c>
    </row>
    <row r="548" spans="3:11" ht="13.5" customHeight="1" x14ac:dyDescent="0.4">
      <c r="C548" s="26">
        <v>2</v>
      </c>
      <c r="D548" s="26" t="s">
        <v>24</v>
      </c>
      <c r="E548" s="26">
        <v>242</v>
      </c>
      <c r="F548" s="26">
        <v>1436</v>
      </c>
      <c r="G548" s="22">
        <f t="shared" si="26"/>
        <v>585422</v>
      </c>
      <c r="H548" s="18" t="str">
        <f t="shared" si="24"/>
        <v/>
      </c>
      <c r="I548" s="22" t="str">
        <f t="shared" si="25"/>
        <v/>
      </c>
      <c r="J548" s="20" t="str">
        <f>IF(I548="", "", COUNT($I$12:$I548))</f>
        <v/>
      </c>
      <c r="K548" s="28" t="s">
        <v>566</v>
      </c>
    </row>
    <row r="549" spans="3:11" ht="13.5" customHeight="1" x14ac:dyDescent="0.4">
      <c r="C549" s="26">
        <v>2</v>
      </c>
      <c r="D549" s="26" t="s">
        <v>24</v>
      </c>
      <c r="E549" s="26">
        <v>243</v>
      </c>
      <c r="F549" s="26">
        <v>1037</v>
      </c>
      <c r="G549" s="22">
        <f t="shared" si="26"/>
        <v>586459</v>
      </c>
      <c r="H549" s="18" t="str">
        <f t="shared" si="24"/>
        <v/>
      </c>
      <c r="I549" s="22" t="str">
        <f t="shared" si="25"/>
        <v/>
      </c>
      <c r="J549" s="20" t="str">
        <f>IF(I549="", "", COUNT($I$12:$I549))</f>
        <v/>
      </c>
      <c r="K549" s="28" t="s">
        <v>567</v>
      </c>
    </row>
    <row r="550" spans="3:11" ht="13.5" customHeight="1" x14ac:dyDescent="0.4">
      <c r="C550" s="26">
        <v>2</v>
      </c>
      <c r="D550" s="26" t="s">
        <v>24</v>
      </c>
      <c r="E550" s="26">
        <v>244</v>
      </c>
      <c r="F550" s="26">
        <v>1009</v>
      </c>
      <c r="G550" s="22">
        <f t="shared" si="26"/>
        <v>587468</v>
      </c>
      <c r="H550" s="18" t="str">
        <f t="shared" si="24"/>
        <v/>
      </c>
      <c r="I550" s="22" t="str">
        <f t="shared" si="25"/>
        <v/>
      </c>
      <c r="J550" s="20" t="str">
        <f>IF(I550="", "", COUNT($I$12:$I550))</f>
        <v/>
      </c>
      <c r="K550" s="28" t="s">
        <v>568</v>
      </c>
    </row>
    <row r="551" spans="3:11" ht="13.5" customHeight="1" x14ac:dyDescent="0.4">
      <c r="C551" s="26">
        <v>2</v>
      </c>
      <c r="D551" s="26" t="s">
        <v>24</v>
      </c>
      <c r="E551" s="26">
        <v>245</v>
      </c>
      <c r="F551" s="26">
        <v>1008</v>
      </c>
      <c r="G551" s="22">
        <f t="shared" si="26"/>
        <v>588476</v>
      </c>
      <c r="H551" s="18" t="str">
        <f t="shared" si="24"/>
        <v/>
      </c>
      <c r="I551" s="22" t="str">
        <f t="shared" si="25"/>
        <v/>
      </c>
      <c r="J551" s="20" t="str">
        <f>IF(I551="", "", COUNT($I$12:$I551))</f>
        <v/>
      </c>
      <c r="K551" s="28" t="s">
        <v>569</v>
      </c>
    </row>
    <row r="552" spans="3:11" ht="13.5" customHeight="1" x14ac:dyDescent="0.4">
      <c r="C552" s="26">
        <v>2</v>
      </c>
      <c r="D552" s="26" t="s">
        <v>24</v>
      </c>
      <c r="E552" s="26">
        <v>246</v>
      </c>
      <c r="F552" s="26">
        <v>1509</v>
      </c>
      <c r="G552" s="22">
        <f t="shared" si="26"/>
        <v>589985</v>
      </c>
      <c r="H552" s="18">
        <f t="shared" si="24"/>
        <v>588829.33333333326</v>
      </c>
      <c r="I552" s="22">
        <f t="shared" si="25"/>
        <v>353.33333333325572</v>
      </c>
      <c r="J552" s="20">
        <f>IF(I552="", "", COUNT($I$12:$I552))</f>
        <v>62</v>
      </c>
      <c r="K552" s="28" t="s">
        <v>570</v>
      </c>
    </row>
    <row r="553" spans="3:11" ht="13.5" customHeight="1" x14ac:dyDescent="0.4">
      <c r="C553" s="26">
        <v>2</v>
      </c>
      <c r="D553" s="26" t="s">
        <v>24</v>
      </c>
      <c r="E553" s="26">
        <v>247</v>
      </c>
      <c r="F553" s="26">
        <v>1506</v>
      </c>
      <c r="G553" s="22">
        <f t="shared" si="26"/>
        <v>591491</v>
      </c>
      <c r="H553" s="18" t="str">
        <f t="shared" si="24"/>
        <v/>
      </c>
      <c r="I553" s="22" t="str">
        <f t="shared" si="25"/>
        <v/>
      </c>
      <c r="J553" s="20" t="str">
        <f>IF(I553="", "", COUNT($I$12:$I553))</f>
        <v/>
      </c>
      <c r="K553" s="28" t="s">
        <v>571</v>
      </c>
    </row>
    <row r="554" spans="3:11" ht="13.5" customHeight="1" x14ac:dyDescent="0.4">
      <c r="C554" s="26">
        <v>2</v>
      </c>
      <c r="D554" s="26" t="s">
        <v>24</v>
      </c>
      <c r="E554" s="26">
        <v>248</v>
      </c>
      <c r="F554" s="26">
        <v>1420</v>
      </c>
      <c r="G554" s="22">
        <f t="shared" si="26"/>
        <v>592911</v>
      </c>
      <c r="H554" s="18" t="str">
        <f t="shared" si="24"/>
        <v/>
      </c>
      <c r="I554" s="22" t="str">
        <f t="shared" si="25"/>
        <v/>
      </c>
      <c r="J554" s="20" t="str">
        <f>IF(I554="", "", COUNT($I$12:$I554))</f>
        <v/>
      </c>
      <c r="K554" s="28" t="s">
        <v>572</v>
      </c>
    </row>
    <row r="555" spans="3:11" ht="13.5" customHeight="1" x14ac:dyDescent="0.4">
      <c r="C555" s="26">
        <v>2</v>
      </c>
      <c r="D555" s="26" t="s">
        <v>24</v>
      </c>
      <c r="E555" s="26">
        <v>249</v>
      </c>
      <c r="F555" s="26">
        <v>1261</v>
      </c>
      <c r="G555" s="22">
        <f t="shared" si="26"/>
        <v>594172</v>
      </c>
      <c r="H555" s="18" t="str">
        <f t="shared" si="24"/>
        <v/>
      </c>
      <c r="I555" s="22" t="str">
        <f t="shared" si="25"/>
        <v/>
      </c>
      <c r="J555" s="20" t="str">
        <f>IF(I555="", "", COUNT($I$12:$I555))</f>
        <v/>
      </c>
      <c r="K555" s="28" t="s">
        <v>573</v>
      </c>
    </row>
    <row r="556" spans="3:11" ht="13.5" customHeight="1" x14ac:dyDescent="0.4">
      <c r="C556" s="26">
        <v>2</v>
      </c>
      <c r="D556" s="26" t="s">
        <v>24</v>
      </c>
      <c r="E556" s="26">
        <v>250</v>
      </c>
      <c r="F556" s="26">
        <v>1243</v>
      </c>
      <c r="G556" s="22">
        <f t="shared" si="26"/>
        <v>595415</v>
      </c>
      <c r="H556" s="18" t="str">
        <f t="shared" si="24"/>
        <v/>
      </c>
      <c r="I556" s="22" t="str">
        <f t="shared" si="25"/>
        <v/>
      </c>
      <c r="J556" s="20" t="str">
        <f>IF(I556="", "", COUNT($I$12:$I556))</f>
        <v/>
      </c>
      <c r="K556" s="28" t="s">
        <v>574</v>
      </c>
    </row>
    <row r="557" spans="3:11" ht="13.5" customHeight="1" x14ac:dyDescent="0.4">
      <c r="C557" s="26">
        <v>2</v>
      </c>
      <c r="D557" s="26" t="s">
        <v>24</v>
      </c>
      <c r="E557" s="26">
        <v>251</v>
      </c>
      <c r="F557" s="26">
        <v>1283</v>
      </c>
      <c r="G557" s="22">
        <f t="shared" si="26"/>
        <v>596698</v>
      </c>
      <c r="H557" s="18" t="str">
        <f t="shared" si="24"/>
        <v/>
      </c>
      <c r="I557" s="22" t="str">
        <f t="shared" si="25"/>
        <v/>
      </c>
      <c r="J557" s="20" t="str">
        <f>IF(I557="", "", COUNT($I$12:$I557))</f>
        <v/>
      </c>
      <c r="K557" s="28" t="s">
        <v>575</v>
      </c>
    </row>
    <row r="558" spans="3:11" ht="13.5" customHeight="1" x14ac:dyDescent="0.4">
      <c r="C558" s="26">
        <v>2</v>
      </c>
      <c r="D558" s="26" t="s">
        <v>24</v>
      </c>
      <c r="E558" s="26">
        <v>252</v>
      </c>
      <c r="F558" s="26">
        <v>991</v>
      </c>
      <c r="G558" s="22">
        <f t="shared" si="26"/>
        <v>597689</v>
      </c>
      <c r="H558" s="18" t="str">
        <f t="shared" si="24"/>
        <v/>
      </c>
      <c r="I558" s="22" t="str">
        <f t="shared" si="25"/>
        <v/>
      </c>
      <c r="J558" s="20" t="str">
        <f>IF(I558="", "", COUNT($I$12:$I558))</f>
        <v/>
      </c>
      <c r="K558" s="28" t="s">
        <v>576</v>
      </c>
    </row>
    <row r="559" spans="3:11" ht="13.5" customHeight="1" x14ac:dyDescent="0.4">
      <c r="C559" s="26">
        <v>2</v>
      </c>
      <c r="D559" s="26" t="s">
        <v>24</v>
      </c>
      <c r="E559" s="26">
        <v>253</v>
      </c>
      <c r="F559" s="26">
        <v>1070</v>
      </c>
      <c r="G559" s="22">
        <f t="shared" si="26"/>
        <v>598759</v>
      </c>
      <c r="H559" s="18">
        <f t="shared" si="24"/>
        <v>598326.25806451612</v>
      </c>
      <c r="I559" s="22">
        <f t="shared" si="25"/>
        <v>637.25806451612152</v>
      </c>
      <c r="J559" s="20">
        <f>IF(I559="", "", COUNT($I$12:$I559))</f>
        <v>63</v>
      </c>
      <c r="K559" s="28" t="s">
        <v>577</v>
      </c>
    </row>
    <row r="560" spans="3:11" ht="13.5" customHeight="1" x14ac:dyDescent="0.4">
      <c r="C560" s="26">
        <v>2</v>
      </c>
      <c r="D560" s="26" t="s">
        <v>24</v>
      </c>
      <c r="E560" s="26">
        <v>254</v>
      </c>
      <c r="F560" s="26">
        <v>1268</v>
      </c>
      <c r="G560" s="22">
        <f t="shared" si="26"/>
        <v>600027</v>
      </c>
      <c r="H560" s="18" t="str">
        <f t="shared" si="24"/>
        <v/>
      </c>
      <c r="I560" s="22" t="str">
        <f t="shared" si="25"/>
        <v/>
      </c>
      <c r="J560" s="20" t="str">
        <f>IF(I560="", "", COUNT($I$12:$I560))</f>
        <v/>
      </c>
      <c r="K560" s="28" t="s">
        <v>578</v>
      </c>
    </row>
    <row r="561" spans="3:11" ht="13.5" customHeight="1" x14ac:dyDescent="0.4">
      <c r="C561" s="26">
        <v>2</v>
      </c>
      <c r="D561" s="26" t="s">
        <v>24</v>
      </c>
      <c r="E561" s="26">
        <v>255</v>
      </c>
      <c r="F561" s="26">
        <v>1151</v>
      </c>
      <c r="G561" s="22">
        <f t="shared" si="26"/>
        <v>601178</v>
      </c>
      <c r="H561" s="18" t="str">
        <f t="shared" si="24"/>
        <v/>
      </c>
      <c r="I561" s="22" t="str">
        <f t="shared" si="25"/>
        <v/>
      </c>
      <c r="J561" s="20" t="str">
        <f>IF(I561="", "", COUNT($I$12:$I561))</f>
        <v/>
      </c>
      <c r="K561" s="28" t="s">
        <v>579</v>
      </c>
    </row>
    <row r="562" spans="3:11" ht="13.5" customHeight="1" x14ac:dyDescent="0.4">
      <c r="C562" s="26">
        <v>2</v>
      </c>
      <c r="D562" s="26" t="s">
        <v>24</v>
      </c>
      <c r="E562" s="26">
        <v>256</v>
      </c>
      <c r="F562" s="26">
        <v>991</v>
      </c>
      <c r="G562" s="22">
        <f t="shared" si="26"/>
        <v>602169</v>
      </c>
      <c r="H562" s="18" t="str">
        <f t="shared" si="24"/>
        <v/>
      </c>
      <c r="I562" s="22" t="str">
        <f t="shared" si="25"/>
        <v/>
      </c>
      <c r="J562" s="20" t="str">
        <f>IF(I562="", "", COUNT($I$12:$I562))</f>
        <v/>
      </c>
      <c r="K562" s="28" t="s">
        <v>580</v>
      </c>
    </row>
    <row r="563" spans="3:11" ht="13.5" customHeight="1" x14ac:dyDescent="0.4">
      <c r="C563" s="26">
        <v>2</v>
      </c>
      <c r="D563" s="26" t="s">
        <v>24</v>
      </c>
      <c r="E563" s="26">
        <v>257</v>
      </c>
      <c r="F563" s="26">
        <v>1384</v>
      </c>
      <c r="G563" s="22">
        <f t="shared" si="26"/>
        <v>603553</v>
      </c>
      <c r="H563" s="18" t="str">
        <f t="shared" si="24"/>
        <v/>
      </c>
      <c r="I563" s="22" t="str">
        <f t="shared" si="25"/>
        <v/>
      </c>
      <c r="J563" s="20" t="str">
        <f>IF(I563="", "", COUNT($I$12:$I563))</f>
        <v/>
      </c>
      <c r="K563" s="28" t="s">
        <v>581</v>
      </c>
    </row>
    <row r="564" spans="3:11" ht="13.5" customHeight="1" x14ac:dyDescent="0.4">
      <c r="C564" s="26">
        <v>2</v>
      </c>
      <c r="D564" s="26" t="s">
        <v>24</v>
      </c>
      <c r="E564" s="26">
        <v>258</v>
      </c>
      <c r="F564" s="26">
        <v>1473</v>
      </c>
      <c r="G564" s="22">
        <f t="shared" si="26"/>
        <v>605026</v>
      </c>
      <c r="H564" s="18" t="str">
        <f t="shared" si="24"/>
        <v/>
      </c>
      <c r="I564" s="22" t="str">
        <f t="shared" si="25"/>
        <v/>
      </c>
      <c r="J564" s="20" t="str">
        <f>IF(I564="", "", COUNT($I$12:$I564))</f>
        <v/>
      </c>
      <c r="K564" s="28" t="s">
        <v>582</v>
      </c>
    </row>
    <row r="565" spans="3:11" ht="13.5" customHeight="1" x14ac:dyDescent="0.4">
      <c r="C565" s="26">
        <v>2</v>
      </c>
      <c r="D565" s="26" t="s">
        <v>24</v>
      </c>
      <c r="E565" s="26">
        <v>259</v>
      </c>
      <c r="F565" s="26">
        <v>1124</v>
      </c>
      <c r="G565" s="22">
        <f t="shared" si="26"/>
        <v>606150</v>
      </c>
      <c r="H565" s="18" t="str">
        <f t="shared" si="24"/>
        <v/>
      </c>
      <c r="I565" s="22" t="str">
        <f t="shared" si="25"/>
        <v/>
      </c>
      <c r="J565" s="20" t="str">
        <f>IF(I565="", "", COUNT($I$12:$I565))</f>
        <v/>
      </c>
      <c r="K565" s="28" t="s">
        <v>583</v>
      </c>
    </row>
    <row r="566" spans="3:11" ht="13.5" customHeight="1" x14ac:dyDescent="0.4">
      <c r="C566" s="26">
        <v>2</v>
      </c>
      <c r="D566" s="26" t="s">
        <v>24</v>
      </c>
      <c r="E566" s="26">
        <v>260</v>
      </c>
      <c r="F566" s="26">
        <v>1240</v>
      </c>
      <c r="G566" s="22">
        <f t="shared" si="26"/>
        <v>607390</v>
      </c>
      <c r="H566" s="18" t="str">
        <f t="shared" si="24"/>
        <v/>
      </c>
      <c r="I566" s="22" t="str">
        <f t="shared" si="25"/>
        <v/>
      </c>
      <c r="J566" s="20" t="str">
        <f>IF(I566="", "", COUNT($I$12:$I566))</f>
        <v/>
      </c>
      <c r="K566" s="28" t="s">
        <v>584</v>
      </c>
    </row>
    <row r="567" spans="3:11" ht="13.5" customHeight="1" x14ac:dyDescent="0.4">
      <c r="C567" s="26">
        <v>2</v>
      </c>
      <c r="D567" s="26" t="s">
        <v>24</v>
      </c>
      <c r="E567" s="26">
        <v>261</v>
      </c>
      <c r="F567" s="26">
        <v>1430</v>
      </c>
      <c r="G567" s="22">
        <f t="shared" si="26"/>
        <v>608820</v>
      </c>
      <c r="H567" s="18">
        <f t="shared" si="24"/>
        <v>607823.18279569887</v>
      </c>
      <c r="I567" s="22">
        <f t="shared" si="25"/>
        <v>433.1827956988709</v>
      </c>
      <c r="J567" s="20">
        <f>IF(I567="", "", COUNT($I$12:$I567))</f>
        <v>64</v>
      </c>
      <c r="K567" s="28" t="s">
        <v>585</v>
      </c>
    </row>
    <row r="568" spans="3:11" ht="13.5" customHeight="1" x14ac:dyDescent="0.4">
      <c r="C568" s="26">
        <v>2</v>
      </c>
      <c r="D568" s="26" t="s">
        <v>24</v>
      </c>
      <c r="E568" s="26">
        <v>262</v>
      </c>
      <c r="F568" s="26">
        <v>1479</v>
      </c>
      <c r="G568" s="22">
        <f t="shared" si="26"/>
        <v>610299</v>
      </c>
      <c r="H568" s="18" t="str">
        <f t="shared" si="24"/>
        <v/>
      </c>
      <c r="I568" s="22" t="str">
        <f t="shared" si="25"/>
        <v/>
      </c>
      <c r="J568" s="20" t="str">
        <f>IF(I568="", "", COUNT($I$12:$I568))</f>
        <v/>
      </c>
      <c r="K568" s="28" t="s">
        <v>586</v>
      </c>
    </row>
    <row r="569" spans="3:11" ht="13.5" customHeight="1" x14ac:dyDescent="0.4">
      <c r="C569" s="26">
        <v>2</v>
      </c>
      <c r="D569" s="26" t="s">
        <v>24</v>
      </c>
      <c r="E569" s="26">
        <v>263</v>
      </c>
      <c r="F569" s="26">
        <v>1325</v>
      </c>
      <c r="G569" s="22">
        <f t="shared" si="26"/>
        <v>611624</v>
      </c>
      <c r="H569" s="18" t="str">
        <f t="shared" si="24"/>
        <v/>
      </c>
      <c r="I569" s="22" t="str">
        <f t="shared" si="25"/>
        <v/>
      </c>
      <c r="J569" s="20" t="str">
        <f>IF(I569="", "", COUNT($I$12:$I569))</f>
        <v/>
      </c>
      <c r="K569" s="28" t="s">
        <v>587</v>
      </c>
    </row>
    <row r="570" spans="3:11" ht="13.5" customHeight="1" x14ac:dyDescent="0.4">
      <c r="C570" s="26">
        <v>2</v>
      </c>
      <c r="D570" s="26" t="s">
        <v>24</v>
      </c>
      <c r="E570" s="26">
        <v>264</v>
      </c>
      <c r="F570" s="26">
        <v>1323</v>
      </c>
      <c r="G570" s="22">
        <f t="shared" si="26"/>
        <v>612947</v>
      </c>
      <c r="H570" s="18" t="str">
        <f t="shared" si="24"/>
        <v/>
      </c>
      <c r="I570" s="22" t="str">
        <f t="shared" si="25"/>
        <v/>
      </c>
      <c r="J570" s="20" t="str">
        <f>IF(I570="", "", COUNT($I$12:$I570))</f>
        <v/>
      </c>
      <c r="K570" s="28" t="s">
        <v>588</v>
      </c>
    </row>
    <row r="571" spans="3:11" ht="13.5" customHeight="1" x14ac:dyDescent="0.4">
      <c r="C571" s="26">
        <v>2</v>
      </c>
      <c r="D571" s="26" t="s">
        <v>24</v>
      </c>
      <c r="E571" s="26">
        <v>265</v>
      </c>
      <c r="F571" s="26">
        <v>1423</v>
      </c>
      <c r="G571" s="22">
        <f t="shared" si="26"/>
        <v>614370</v>
      </c>
      <c r="H571" s="18" t="str">
        <f t="shared" si="24"/>
        <v/>
      </c>
      <c r="I571" s="22" t="str">
        <f t="shared" si="25"/>
        <v/>
      </c>
      <c r="J571" s="20" t="str">
        <f>IF(I571="", "", COUNT($I$12:$I571))</f>
        <v/>
      </c>
      <c r="K571" s="28" t="s">
        <v>589</v>
      </c>
    </row>
    <row r="572" spans="3:11" ht="13.5" customHeight="1" x14ac:dyDescent="0.4">
      <c r="C572" s="26">
        <v>2</v>
      </c>
      <c r="D572" s="26" t="s">
        <v>24</v>
      </c>
      <c r="E572" s="26">
        <v>266</v>
      </c>
      <c r="F572" s="26">
        <v>1509</v>
      </c>
      <c r="G572" s="22">
        <f t="shared" si="26"/>
        <v>615879</v>
      </c>
      <c r="H572" s="18" t="str">
        <f t="shared" si="24"/>
        <v/>
      </c>
      <c r="I572" s="22" t="str">
        <f t="shared" si="25"/>
        <v/>
      </c>
      <c r="J572" s="20" t="str">
        <f>IF(I572="", "", COUNT($I$12:$I572))</f>
        <v/>
      </c>
      <c r="K572" s="28" t="s">
        <v>590</v>
      </c>
    </row>
    <row r="573" spans="3:11" ht="13.5" customHeight="1" x14ac:dyDescent="0.4">
      <c r="C573" s="26">
        <v>2</v>
      </c>
      <c r="D573" s="26" t="s">
        <v>24</v>
      </c>
      <c r="E573" s="26">
        <v>267</v>
      </c>
      <c r="F573" s="26">
        <v>1510</v>
      </c>
      <c r="G573" s="22">
        <f t="shared" si="26"/>
        <v>617389</v>
      </c>
      <c r="H573" s="18">
        <f t="shared" si="24"/>
        <v>617320.10752688162</v>
      </c>
      <c r="I573" s="22">
        <f t="shared" si="25"/>
        <v>1441.1075268816203</v>
      </c>
      <c r="J573" s="20">
        <f>IF(I573="", "", COUNT($I$12:$I573))</f>
        <v>65</v>
      </c>
      <c r="K573" s="28" t="s">
        <v>591</v>
      </c>
    </row>
    <row r="574" spans="3:11" ht="13.5" customHeight="1" x14ac:dyDescent="0.4">
      <c r="C574" s="26">
        <v>2</v>
      </c>
      <c r="D574" s="26" t="s">
        <v>24</v>
      </c>
      <c r="E574" s="26">
        <v>268</v>
      </c>
      <c r="F574" s="26">
        <v>1478</v>
      </c>
      <c r="G574" s="22">
        <f t="shared" si="26"/>
        <v>618867</v>
      </c>
      <c r="H574" s="18" t="str">
        <f t="shared" si="24"/>
        <v/>
      </c>
      <c r="I574" s="22" t="str">
        <f t="shared" si="25"/>
        <v/>
      </c>
      <c r="J574" s="20" t="str">
        <f>IF(I574="", "", COUNT($I$12:$I574))</f>
        <v/>
      </c>
      <c r="K574" s="28" t="s">
        <v>592</v>
      </c>
    </row>
    <row r="575" spans="3:11" ht="13.5" customHeight="1" x14ac:dyDescent="0.4">
      <c r="C575" s="26">
        <v>2</v>
      </c>
      <c r="D575" s="26" t="s">
        <v>24</v>
      </c>
      <c r="E575" s="26">
        <v>269</v>
      </c>
      <c r="F575" s="26">
        <v>1329</v>
      </c>
      <c r="G575" s="22">
        <f t="shared" si="26"/>
        <v>620196</v>
      </c>
      <c r="H575" s="18" t="str">
        <f t="shared" si="24"/>
        <v/>
      </c>
      <c r="I575" s="22" t="str">
        <f t="shared" si="25"/>
        <v/>
      </c>
      <c r="J575" s="20" t="str">
        <f>IF(I575="", "", COUNT($I$12:$I575))</f>
        <v/>
      </c>
      <c r="K575" s="28" t="s">
        <v>593</v>
      </c>
    </row>
    <row r="576" spans="3:11" ht="13.5" customHeight="1" x14ac:dyDescent="0.4">
      <c r="C576" s="26">
        <v>2</v>
      </c>
      <c r="D576" s="26" t="s">
        <v>24</v>
      </c>
      <c r="E576" s="26">
        <v>270</v>
      </c>
      <c r="F576" s="26">
        <v>1466</v>
      </c>
      <c r="G576" s="22">
        <f t="shared" si="26"/>
        <v>621662</v>
      </c>
      <c r="H576" s="18" t="str">
        <f t="shared" si="24"/>
        <v/>
      </c>
      <c r="I576" s="22" t="str">
        <f t="shared" si="25"/>
        <v/>
      </c>
      <c r="J576" s="20" t="str">
        <f>IF(I576="", "", COUNT($I$12:$I576))</f>
        <v/>
      </c>
      <c r="K576" s="28" t="s">
        <v>594</v>
      </c>
    </row>
    <row r="577" spans="3:11" ht="13.5" customHeight="1" x14ac:dyDescent="0.4">
      <c r="C577" s="26">
        <v>2</v>
      </c>
      <c r="D577" s="26" t="s">
        <v>24</v>
      </c>
      <c r="E577" s="26">
        <v>271</v>
      </c>
      <c r="F577" s="26">
        <v>1386</v>
      </c>
      <c r="G577" s="22">
        <f t="shared" si="26"/>
        <v>623048</v>
      </c>
      <c r="H577" s="18" t="str">
        <f t="shared" si="24"/>
        <v/>
      </c>
      <c r="I577" s="22" t="str">
        <f t="shared" si="25"/>
        <v/>
      </c>
      <c r="J577" s="20" t="str">
        <f>IF(I577="", "", COUNT($I$12:$I577))</f>
        <v/>
      </c>
      <c r="K577" s="28" t="s">
        <v>595</v>
      </c>
    </row>
    <row r="578" spans="3:11" ht="13.5" customHeight="1" x14ac:dyDescent="0.4">
      <c r="C578" s="26">
        <v>2</v>
      </c>
      <c r="D578" s="26" t="s">
        <v>24</v>
      </c>
      <c r="E578" s="26">
        <v>272</v>
      </c>
      <c r="F578" s="26">
        <v>1390</v>
      </c>
      <c r="G578" s="22">
        <f t="shared" si="26"/>
        <v>624438</v>
      </c>
      <c r="H578" s="18" t="str">
        <f t="shared" si="24"/>
        <v/>
      </c>
      <c r="I578" s="22" t="str">
        <f t="shared" si="25"/>
        <v/>
      </c>
      <c r="J578" s="20" t="str">
        <f>IF(I578="", "", COUNT($I$12:$I578))</f>
        <v/>
      </c>
      <c r="K578" s="28" t="s">
        <v>596</v>
      </c>
    </row>
    <row r="579" spans="3:11" ht="13.5" customHeight="1" x14ac:dyDescent="0.4">
      <c r="C579" s="26">
        <v>2</v>
      </c>
      <c r="D579" s="26" t="s">
        <v>24</v>
      </c>
      <c r="E579" s="26">
        <v>273</v>
      </c>
      <c r="F579" s="26">
        <v>1436</v>
      </c>
      <c r="G579" s="22">
        <f t="shared" si="26"/>
        <v>625874</v>
      </c>
      <c r="H579" s="18" t="str">
        <f t="shared" si="24"/>
        <v/>
      </c>
      <c r="I579" s="22" t="str">
        <f t="shared" si="25"/>
        <v/>
      </c>
      <c r="J579" s="20" t="str">
        <f>IF(I579="", "", COUNT($I$12:$I579))</f>
        <v/>
      </c>
      <c r="K579" s="28" t="s">
        <v>597</v>
      </c>
    </row>
    <row r="580" spans="3:11" ht="13.5" customHeight="1" x14ac:dyDescent="0.4">
      <c r="C580" s="26">
        <v>2</v>
      </c>
      <c r="D580" s="26" t="s">
        <v>24</v>
      </c>
      <c r="E580" s="26">
        <v>274</v>
      </c>
      <c r="F580" s="26">
        <v>1422</v>
      </c>
      <c r="G580" s="22">
        <f t="shared" si="26"/>
        <v>627296</v>
      </c>
      <c r="H580" s="18">
        <f t="shared" si="24"/>
        <v>626817.03225806449</v>
      </c>
      <c r="I580" s="22">
        <f t="shared" si="25"/>
        <v>943.03225806448609</v>
      </c>
      <c r="J580" s="20">
        <f>IF(I580="", "", COUNT($I$12:$I580))</f>
        <v>66</v>
      </c>
      <c r="K580" s="28" t="s">
        <v>598</v>
      </c>
    </row>
    <row r="581" spans="3:11" ht="13.5" customHeight="1" x14ac:dyDescent="0.4">
      <c r="C581" s="26">
        <v>2</v>
      </c>
      <c r="D581" s="26" t="s">
        <v>24</v>
      </c>
      <c r="E581" s="26">
        <v>275</v>
      </c>
      <c r="F581" s="26">
        <v>1426</v>
      </c>
      <c r="G581" s="22">
        <f t="shared" si="26"/>
        <v>628722</v>
      </c>
      <c r="H581" s="18" t="str">
        <f t="shared" si="24"/>
        <v/>
      </c>
      <c r="I581" s="22" t="str">
        <f t="shared" si="25"/>
        <v/>
      </c>
      <c r="J581" s="20" t="str">
        <f>IF(I581="", "", COUNT($I$12:$I581))</f>
        <v/>
      </c>
      <c r="K581" s="28" t="s">
        <v>599</v>
      </c>
    </row>
    <row r="582" spans="3:11" ht="13.5" customHeight="1" x14ac:dyDescent="0.4">
      <c r="C582" s="26">
        <v>2</v>
      </c>
      <c r="D582" s="26" t="s">
        <v>24</v>
      </c>
      <c r="E582" s="26">
        <v>276</v>
      </c>
      <c r="F582" s="26">
        <v>1421</v>
      </c>
      <c r="G582" s="22">
        <f t="shared" si="26"/>
        <v>630143</v>
      </c>
      <c r="H582" s="18" t="str">
        <f t="shared" si="24"/>
        <v/>
      </c>
      <c r="I582" s="22" t="str">
        <f t="shared" si="25"/>
        <v/>
      </c>
      <c r="J582" s="20" t="str">
        <f>IF(I582="", "", COUNT($I$12:$I582))</f>
        <v/>
      </c>
      <c r="K582" s="28" t="s">
        <v>600</v>
      </c>
    </row>
    <row r="583" spans="3:11" ht="13.5" customHeight="1" x14ac:dyDescent="0.4">
      <c r="C583" s="26">
        <v>2</v>
      </c>
      <c r="D583" s="26" t="s">
        <v>24</v>
      </c>
      <c r="E583" s="26">
        <v>277</v>
      </c>
      <c r="F583" s="26">
        <v>1177</v>
      </c>
      <c r="G583" s="22">
        <f t="shared" si="26"/>
        <v>631320</v>
      </c>
      <c r="H583" s="18" t="str">
        <f t="shared" si="24"/>
        <v/>
      </c>
      <c r="I583" s="22" t="str">
        <f t="shared" si="25"/>
        <v/>
      </c>
      <c r="J583" s="20" t="str">
        <f>IF(I583="", "", COUNT($I$12:$I583))</f>
        <v/>
      </c>
      <c r="K583" s="28" t="s">
        <v>601</v>
      </c>
    </row>
    <row r="584" spans="3:11" ht="13.5" customHeight="1" x14ac:dyDescent="0.4">
      <c r="C584" s="26">
        <v>2</v>
      </c>
      <c r="D584" s="26" t="s">
        <v>24</v>
      </c>
      <c r="E584" s="26">
        <v>278</v>
      </c>
      <c r="F584" s="26">
        <v>1344</v>
      </c>
      <c r="G584" s="22">
        <f t="shared" si="26"/>
        <v>632664</v>
      </c>
      <c r="H584" s="18" t="str">
        <f t="shared" si="24"/>
        <v/>
      </c>
      <c r="I584" s="22" t="str">
        <f t="shared" si="25"/>
        <v/>
      </c>
      <c r="J584" s="20" t="str">
        <f>IF(I584="", "", COUNT($I$12:$I584))</f>
        <v/>
      </c>
      <c r="K584" s="28" t="s">
        <v>602</v>
      </c>
    </row>
    <row r="585" spans="3:11" ht="13.5" customHeight="1" x14ac:dyDescent="0.4">
      <c r="C585" s="26">
        <v>2</v>
      </c>
      <c r="D585" s="26" t="s">
        <v>24</v>
      </c>
      <c r="E585" s="26">
        <v>279</v>
      </c>
      <c r="F585" s="26">
        <v>1236</v>
      </c>
      <c r="G585" s="22">
        <f t="shared" si="26"/>
        <v>633900</v>
      </c>
      <c r="H585" s="18" t="str">
        <f t="shared" si="24"/>
        <v/>
      </c>
      <c r="I585" s="22" t="str">
        <f t="shared" si="25"/>
        <v/>
      </c>
      <c r="J585" s="20" t="str">
        <f>IF(I585="", "", COUNT($I$12:$I585))</f>
        <v/>
      </c>
      <c r="K585" s="28" t="s">
        <v>603</v>
      </c>
    </row>
    <row r="586" spans="3:11" ht="13.5" customHeight="1" x14ac:dyDescent="0.4">
      <c r="C586" s="26">
        <v>2</v>
      </c>
      <c r="D586" s="26" t="s">
        <v>24</v>
      </c>
      <c r="E586" s="26">
        <v>280</v>
      </c>
      <c r="F586" s="26">
        <v>1236</v>
      </c>
      <c r="G586" s="22">
        <f t="shared" si="26"/>
        <v>635136</v>
      </c>
      <c r="H586" s="18" t="str">
        <f t="shared" si="24"/>
        <v/>
      </c>
      <c r="I586" s="22" t="str">
        <f t="shared" si="25"/>
        <v/>
      </c>
      <c r="J586" s="20" t="str">
        <f>IF(I586="", "", COUNT($I$12:$I586))</f>
        <v/>
      </c>
      <c r="K586" s="28" t="s">
        <v>604</v>
      </c>
    </row>
    <row r="587" spans="3:11" ht="13.5" customHeight="1" x14ac:dyDescent="0.4">
      <c r="C587" s="26">
        <v>2</v>
      </c>
      <c r="D587" s="26" t="s">
        <v>24</v>
      </c>
      <c r="E587" s="26">
        <v>281</v>
      </c>
      <c r="F587" s="26">
        <v>1478</v>
      </c>
      <c r="G587" s="22">
        <f t="shared" si="26"/>
        <v>636614</v>
      </c>
      <c r="H587" s="18">
        <f t="shared" si="24"/>
        <v>636313.95698924724</v>
      </c>
      <c r="I587" s="22">
        <f t="shared" si="25"/>
        <v>1177.9569892472355</v>
      </c>
      <c r="J587" s="20">
        <f>IF(I587="", "", COUNT($I$12:$I587))</f>
        <v>67</v>
      </c>
      <c r="K587" s="28" t="s">
        <v>605</v>
      </c>
    </row>
    <row r="588" spans="3:11" ht="13.5" customHeight="1" x14ac:dyDescent="0.4">
      <c r="C588" s="26">
        <v>2</v>
      </c>
      <c r="D588" s="26" t="s">
        <v>24</v>
      </c>
      <c r="E588" s="26">
        <v>282</v>
      </c>
      <c r="F588" s="26">
        <v>1311</v>
      </c>
      <c r="G588" s="22">
        <f t="shared" si="26"/>
        <v>637925</v>
      </c>
      <c r="H588" s="18" t="str">
        <f t="shared" ref="H588:H651" si="27">IF(AND(G588 &gt;= ($D$5 + ($C$5 * (INT((G588 - $D$5)/$C$5)))), G587 &lt; ($D$5 + ($C$5 * (INT((G588 - $D$5)/$C$5))))), $D$5 + ($C$5 * INT((G588 - $D$5)/$C$5)), "")</f>
        <v/>
      </c>
      <c r="I588" s="22" t="str">
        <f t="shared" ref="I588:I651" si="28">IFERROR(H588-G587, "")</f>
        <v/>
      </c>
      <c r="J588" s="20" t="str">
        <f>IF(I588="", "", COUNT($I$12:$I588))</f>
        <v/>
      </c>
      <c r="K588" s="28" t="s">
        <v>606</v>
      </c>
    </row>
    <row r="589" spans="3:11" ht="13.5" customHeight="1" x14ac:dyDescent="0.4">
      <c r="C589" s="26">
        <v>2</v>
      </c>
      <c r="D589" s="26" t="s">
        <v>24</v>
      </c>
      <c r="E589" s="26">
        <v>283</v>
      </c>
      <c r="F589" s="26">
        <v>1504</v>
      </c>
      <c r="G589" s="22">
        <f t="shared" si="26"/>
        <v>639429</v>
      </c>
      <c r="H589" s="18" t="str">
        <f t="shared" si="27"/>
        <v/>
      </c>
      <c r="I589" s="22" t="str">
        <f t="shared" si="28"/>
        <v/>
      </c>
      <c r="J589" s="20" t="str">
        <f>IF(I589="", "", COUNT($I$12:$I589))</f>
        <v/>
      </c>
      <c r="K589" s="28" t="s">
        <v>607</v>
      </c>
    </row>
    <row r="590" spans="3:11" ht="13.5" customHeight="1" x14ac:dyDescent="0.4">
      <c r="C590" s="26">
        <v>2</v>
      </c>
      <c r="D590" s="26" t="s">
        <v>24</v>
      </c>
      <c r="E590" s="26">
        <v>284</v>
      </c>
      <c r="F590" s="26">
        <v>1520</v>
      </c>
      <c r="G590" s="22">
        <f t="shared" ref="G590:G653" si="29">G589+F590</f>
        <v>640949</v>
      </c>
      <c r="H590" s="18" t="str">
        <f t="shared" si="27"/>
        <v/>
      </c>
      <c r="I590" s="22" t="str">
        <f t="shared" si="28"/>
        <v/>
      </c>
      <c r="J590" s="20" t="str">
        <f>IF(I590="", "", COUNT($I$12:$I590))</f>
        <v/>
      </c>
      <c r="K590" s="28" t="s">
        <v>608</v>
      </c>
    </row>
    <row r="591" spans="3:11" ht="13.5" customHeight="1" x14ac:dyDescent="0.4">
      <c r="C591" s="26">
        <v>2</v>
      </c>
      <c r="D591" s="26" t="s">
        <v>24</v>
      </c>
      <c r="E591" s="26">
        <v>285</v>
      </c>
      <c r="F591" s="26">
        <v>1316</v>
      </c>
      <c r="G591" s="22">
        <f t="shared" si="29"/>
        <v>642265</v>
      </c>
      <c r="H591" s="18" t="str">
        <f t="shared" si="27"/>
        <v/>
      </c>
      <c r="I591" s="22" t="str">
        <f t="shared" si="28"/>
        <v/>
      </c>
      <c r="J591" s="20" t="str">
        <f>IF(I591="", "", COUNT($I$12:$I591))</f>
        <v/>
      </c>
      <c r="K591" s="28" t="s">
        <v>609</v>
      </c>
    </row>
    <row r="592" spans="3:11" ht="13.5" customHeight="1" x14ac:dyDescent="0.4">
      <c r="C592" s="26">
        <v>2</v>
      </c>
      <c r="D592" s="26" t="s">
        <v>24</v>
      </c>
      <c r="E592" s="26">
        <v>286</v>
      </c>
      <c r="F592" s="26">
        <v>1093</v>
      </c>
      <c r="G592" s="22">
        <f t="shared" si="29"/>
        <v>643358</v>
      </c>
      <c r="H592" s="18" t="str">
        <f t="shared" si="27"/>
        <v/>
      </c>
      <c r="I592" s="22" t="str">
        <f t="shared" si="28"/>
        <v/>
      </c>
      <c r="J592" s="20" t="str">
        <f>IF(I592="", "", COUNT($I$12:$I592))</f>
        <v/>
      </c>
      <c r="K592" s="28" t="s">
        <v>610</v>
      </c>
    </row>
    <row r="593" spans="3:11" ht="13.5" customHeight="1" x14ac:dyDescent="0.4">
      <c r="C593" s="26">
        <v>2</v>
      </c>
      <c r="D593" s="26" t="s">
        <v>24</v>
      </c>
      <c r="E593" s="26">
        <v>287</v>
      </c>
      <c r="F593" s="26">
        <v>1449</v>
      </c>
      <c r="G593" s="22">
        <f t="shared" si="29"/>
        <v>644807</v>
      </c>
      <c r="H593" s="18" t="str">
        <f t="shared" si="27"/>
        <v/>
      </c>
      <c r="I593" s="22" t="str">
        <f t="shared" si="28"/>
        <v/>
      </c>
      <c r="J593" s="20" t="str">
        <f>IF(I593="", "", COUNT($I$12:$I593))</f>
        <v/>
      </c>
      <c r="K593" s="28" t="s">
        <v>611</v>
      </c>
    </row>
    <row r="594" spans="3:11" ht="13.5" customHeight="1" x14ac:dyDescent="0.4">
      <c r="C594" s="26">
        <v>2</v>
      </c>
      <c r="D594" s="26" t="s">
        <v>24</v>
      </c>
      <c r="E594" s="26">
        <v>288</v>
      </c>
      <c r="F594" s="26">
        <v>1051</v>
      </c>
      <c r="G594" s="22">
        <f t="shared" si="29"/>
        <v>645858</v>
      </c>
      <c r="H594" s="18">
        <f t="shared" si="27"/>
        <v>645810.8817204301</v>
      </c>
      <c r="I594" s="22">
        <f t="shared" si="28"/>
        <v>1003.8817204301013</v>
      </c>
      <c r="J594" s="20">
        <f>IF(I594="", "", COUNT($I$12:$I594))</f>
        <v>68</v>
      </c>
      <c r="K594" s="28" t="s">
        <v>612</v>
      </c>
    </row>
    <row r="595" spans="3:11" ht="13.5" customHeight="1" x14ac:dyDescent="0.4">
      <c r="C595" s="26">
        <v>2</v>
      </c>
      <c r="D595" s="26" t="s">
        <v>24</v>
      </c>
      <c r="E595" s="26">
        <v>289</v>
      </c>
      <c r="F595" s="26">
        <v>843</v>
      </c>
      <c r="G595" s="22">
        <f t="shared" si="29"/>
        <v>646701</v>
      </c>
      <c r="H595" s="18" t="str">
        <f t="shared" si="27"/>
        <v/>
      </c>
      <c r="I595" s="22" t="str">
        <f t="shared" si="28"/>
        <v/>
      </c>
      <c r="J595" s="20" t="str">
        <f>IF(I595="", "", COUNT($I$12:$I595))</f>
        <v/>
      </c>
      <c r="K595" s="28" t="s">
        <v>613</v>
      </c>
    </row>
    <row r="596" spans="3:11" ht="13.5" customHeight="1" x14ac:dyDescent="0.4">
      <c r="C596" s="26">
        <v>2</v>
      </c>
      <c r="D596" s="26" t="s">
        <v>24</v>
      </c>
      <c r="E596" s="26">
        <v>290</v>
      </c>
      <c r="F596" s="26">
        <v>1200</v>
      </c>
      <c r="G596" s="22">
        <f t="shared" si="29"/>
        <v>647901</v>
      </c>
      <c r="H596" s="18" t="str">
        <f t="shared" si="27"/>
        <v/>
      </c>
      <c r="I596" s="22" t="str">
        <f t="shared" si="28"/>
        <v/>
      </c>
      <c r="J596" s="20" t="str">
        <f>IF(I596="", "", COUNT($I$12:$I596))</f>
        <v/>
      </c>
      <c r="K596" s="28" t="s">
        <v>614</v>
      </c>
    </row>
    <row r="597" spans="3:11" ht="13.5" customHeight="1" x14ac:dyDescent="0.4">
      <c r="C597" s="26">
        <v>2</v>
      </c>
      <c r="D597" s="26" t="s">
        <v>24</v>
      </c>
      <c r="E597" s="26">
        <v>291</v>
      </c>
      <c r="F597" s="26">
        <v>1314</v>
      </c>
      <c r="G597" s="22">
        <f t="shared" si="29"/>
        <v>649215</v>
      </c>
      <c r="H597" s="18" t="str">
        <f t="shared" si="27"/>
        <v/>
      </c>
      <c r="I597" s="22" t="str">
        <f t="shared" si="28"/>
        <v/>
      </c>
      <c r="J597" s="20" t="str">
        <f>IF(I597="", "", COUNT($I$12:$I597))</f>
        <v/>
      </c>
      <c r="K597" s="28" t="s">
        <v>615</v>
      </c>
    </row>
    <row r="598" spans="3:11" ht="13.5" customHeight="1" x14ac:dyDescent="0.4">
      <c r="C598" s="26">
        <v>2</v>
      </c>
      <c r="D598" s="26" t="s">
        <v>24</v>
      </c>
      <c r="E598" s="26">
        <v>292</v>
      </c>
      <c r="F598" s="26">
        <v>1365</v>
      </c>
      <c r="G598" s="22">
        <f t="shared" si="29"/>
        <v>650580</v>
      </c>
      <c r="H598" s="18" t="str">
        <f t="shared" si="27"/>
        <v/>
      </c>
      <c r="I598" s="22" t="str">
        <f t="shared" si="28"/>
        <v/>
      </c>
      <c r="J598" s="20" t="str">
        <f>IF(I598="", "", COUNT($I$12:$I598))</f>
        <v/>
      </c>
      <c r="K598" s="28" t="s">
        <v>616</v>
      </c>
    </row>
    <row r="599" spans="3:11" ht="13.5" customHeight="1" x14ac:dyDescent="0.4">
      <c r="C599" s="26">
        <v>2</v>
      </c>
      <c r="D599" s="26" t="s">
        <v>24</v>
      </c>
      <c r="E599" s="26">
        <v>293</v>
      </c>
      <c r="F599" s="26">
        <v>1305</v>
      </c>
      <c r="G599" s="22">
        <f t="shared" si="29"/>
        <v>651885</v>
      </c>
      <c r="H599" s="18" t="str">
        <f t="shared" si="27"/>
        <v/>
      </c>
      <c r="I599" s="22" t="str">
        <f t="shared" si="28"/>
        <v/>
      </c>
      <c r="J599" s="20" t="str">
        <f>IF(I599="", "", COUNT($I$12:$I599))</f>
        <v/>
      </c>
      <c r="K599" s="28" t="s">
        <v>617</v>
      </c>
    </row>
    <row r="600" spans="3:11" ht="13.5" customHeight="1" x14ac:dyDescent="0.4">
      <c r="C600" s="26">
        <v>2</v>
      </c>
      <c r="D600" s="26" t="s">
        <v>24</v>
      </c>
      <c r="E600" s="26">
        <v>294</v>
      </c>
      <c r="F600" s="26">
        <v>844</v>
      </c>
      <c r="G600" s="22">
        <f t="shared" si="29"/>
        <v>652729</v>
      </c>
      <c r="H600" s="18" t="str">
        <f t="shared" si="27"/>
        <v/>
      </c>
      <c r="I600" s="22" t="str">
        <f t="shared" si="28"/>
        <v/>
      </c>
      <c r="J600" s="20" t="str">
        <f>IF(I600="", "", COUNT($I$12:$I600))</f>
        <v/>
      </c>
      <c r="K600" s="28" t="s">
        <v>618</v>
      </c>
    </row>
    <row r="601" spans="3:11" ht="13.5" customHeight="1" x14ac:dyDescent="0.4">
      <c r="C601" s="26">
        <v>2</v>
      </c>
      <c r="D601" s="26" t="s">
        <v>24</v>
      </c>
      <c r="E601" s="26">
        <v>295</v>
      </c>
      <c r="F601" s="26">
        <v>1056</v>
      </c>
      <c r="G601" s="22">
        <f t="shared" si="29"/>
        <v>653785</v>
      </c>
      <c r="H601" s="18" t="str">
        <f t="shared" si="27"/>
        <v/>
      </c>
      <c r="I601" s="22" t="str">
        <f t="shared" si="28"/>
        <v/>
      </c>
      <c r="J601" s="20" t="str">
        <f>IF(I601="", "", COUNT($I$12:$I601))</f>
        <v/>
      </c>
      <c r="K601" s="28" t="s">
        <v>619</v>
      </c>
    </row>
    <row r="602" spans="3:11" ht="13.5" customHeight="1" x14ac:dyDescent="0.4">
      <c r="C602" s="26">
        <v>2</v>
      </c>
      <c r="D602" s="26" t="s">
        <v>24</v>
      </c>
      <c r="E602" s="26">
        <v>296</v>
      </c>
      <c r="F602" s="26">
        <v>908</v>
      </c>
      <c r="G602" s="22">
        <f t="shared" si="29"/>
        <v>654693</v>
      </c>
      <c r="H602" s="18" t="str">
        <f t="shared" si="27"/>
        <v/>
      </c>
      <c r="I602" s="22" t="str">
        <f t="shared" si="28"/>
        <v/>
      </c>
      <c r="J602" s="20" t="str">
        <f>IF(I602="", "", COUNT($I$12:$I602))</f>
        <v/>
      </c>
      <c r="K602" s="28" t="s">
        <v>620</v>
      </c>
    </row>
    <row r="603" spans="3:11" ht="13.5" customHeight="1" x14ac:dyDescent="0.4">
      <c r="C603" s="26">
        <v>2</v>
      </c>
      <c r="D603" s="26" t="s">
        <v>24</v>
      </c>
      <c r="E603" s="26">
        <v>297</v>
      </c>
      <c r="F603" s="26">
        <v>964</v>
      </c>
      <c r="G603" s="22">
        <f t="shared" si="29"/>
        <v>655657</v>
      </c>
      <c r="H603" s="18">
        <f t="shared" si="27"/>
        <v>655307.80645161285</v>
      </c>
      <c r="I603" s="22">
        <f t="shared" si="28"/>
        <v>614.80645161285065</v>
      </c>
      <c r="J603" s="20">
        <f>IF(I603="", "", COUNT($I$12:$I603))</f>
        <v>69</v>
      </c>
      <c r="K603" s="28" t="s">
        <v>621</v>
      </c>
    </row>
    <row r="604" spans="3:11" ht="13.5" customHeight="1" x14ac:dyDescent="0.4">
      <c r="C604" s="26">
        <v>2</v>
      </c>
      <c r="D604" s="26" t="s">
        <v>24</v>
      </c>
      <c r="E604" s="26">
        <v>298</v>
      </c>
      <c r="F604" s="26">
        <v>1409</v>
      </c>
      <c r="G604" s="22">
        <f t="shared" si="29"/>
        <v>657066</v>
      </c>
      <c r="H604" s="18" t="str">
        <f t="shared" si="27"/>
        <v/>
      </c>
      <c r="I604" s="22" t="str">
        <f t="shared" si="28"/>
        <v/>
      </c>
      <c r="J604" s="20" t="str">
        <f>IF(I604="", "", COUNT($I$12:$I604))</f>
        <v/>
      </c>
      <c r="K604" s="28" t="s">
        <v>622</v>
      </c>
    </row>
    <row r="605" spans="3:11" ht="13.5" customHeight="1" x14ac:dyDescent="0.4">
      <c r="C605" s="26">
        <v>2</v>
      </c>
      <c r="D605" s="26" t="s">
        <v>24</v>
      </c>
      <c r="E605" s="26">
        <v>299</v>
      </c>
      <c r="F605" s="26">
        <v>1079</v>
      </c>
      <c r="G605" s="22">
        <f t="shared" si="29"/>
        <v>658145</v>
      </c>
      <c r="H605" s="18" t="str">
        <f t="shared" si="27"/>
        <v/>
      </c>
      <c r="I605" s="22" t="str">
        <f t="shared" si="28"/>
        <v/>
      </c>
      <c r="J605" s="20" t="str">
        <f>IF(I605="", "", COUNT($I$12:$I605))</f>
        <v/>
      </c>
      <c r="K605" s="28" t="s">
        <v>623</v>
      </c>
    </row>
    <row r="606" spans="3:11" ht="13.5" customHeight="1" x14ac:dyDescent="0.4">
      <c r="C606" s="26">
        <v>2</v>
      </c>
      <c r="D606" s="26" t="s">
        <v>24</v>
      </c>
      <c r="E606" s="26">
        <v>300</v>
      </c>
      <c r="F606" s="26">
        <v>1209</v>
      </c>
      <c r="G606" s="22">
        <f t="shared" si="29"/>
        <v>659354</v>
      </c>
      <c r="H606" s="18" t="str">
        <f t="shared" si="27"/>
        <v/>
      </c>
      <c r="I606" s="22" t="str">
        <f t="shared" si="28"/>
        <v/>
      </c>
      <c r="J606" s="20" t="str">
        <f>IF(I606="", "", COUNT($I$12:$I606))</f>
        <v/>
      </c>
      <c r="K606" s="28" t="s">
        <v>624</v>
      </c>
    </row>
    <row r="607" spans="3:11" ht="13.5" customHeight="1" x14ac:dyDescent="0.4">
      <c r="C607" s="26">
        <v>2</v>
      </c>
      <c r="D607" s="26" t="s">
        <v>24</v>
      </c>
      <c r="E607" s="26">
        <v>301</v>
      </c>
      <c r="F607" s="26">
        <v>1203</v>
      </c>
      <c r="G607" s="22">
        <f t="shared" si="29"/>
        <v>660557</v>
      </c>
      <c r="H607" s="18" t="str">
        <f t="shared" si="27"/>
        <v/>
      </c>
      <c r="I607" s="22" t="str">
        <f t="shared" si="28"/>
        <v/>
      </c>
      <c r="J607" s="20" t="str">
        <f>IF(I607="", "", COUNT($I$12:$I607))</f>
        <v/>
      </c>
      <c r="K607" s="28" t="s">
        <v>625</v>
      </c>
    </row>
    <row r="608" spans="3:11" ht="13.5" customHeight="1" x14ac:dyDescent="0.4">
      <c r="C608" s="26">
        <v>2</v>
      </c>
      <c r="D608" s="26" t="s">
        <v>24</v>
      </c>
      <c r="E608" s="26">
        <v>302</v>
      </c>
      <c r="F608" s="26">
        <v>1407</v>
      </c>
      <c r="G608" s="22">
        <f t="shared" si="29"/>
        <v>661964</v>
      </c>
      <c r="H608" s="18" t="str">
        <f t="shared" si="27"/>
        <v/>
      </c>
      <c r="I608" s="22" t="str">
        <f t="shared" si="28"/>
        <v/>
      </c>
      <c r="J608" s="20" t="str">
        <f>IF(I608="", "", COUNT($I$12:$I608))</f>
        <v/>
      </c>
      <c r="K608" s="28" t="s">
        <v>626</v>
      </c>
    </row>
    <row r="609" spans="3:11" ht="13.5" customHeight="1" x14ac:dyDescent="0.4">
      <c r="C609" s="26">
        <v>2</v>
      </c>
      <c r="D609" s="26" t="s">
        <v>24</v>
      </c>
      <c r="E609" s="26">
        <v>303</v>
      </c>
      <c r="F609" s="26">
        <v>1103</v>
      </c>
      <c r="G609" s="22">
        <f t="shared" si="29"/>
        <v>663067</v>
      </c>
      <c r="H609" s="18" t="str">
        <f t="shared" si="27"/>
        <v/>
      </c>
      <c r="I609" s="22" t="str">
        <f t="shared" si="28"/>
        <v/>
      </c>
      <c r="J609" s="20" t="str">
        <f>IF(I609="", "", COUNT($I$12:$I609))</f>
        <v/>
      </c>
      <c r="K609" s="28" t="s">
        <v>627</v>
      </c>
    </row>
    <row r="610" spans="3:11" ht="13.5" customHeight="1" x14ac:dyDescent="0.4">
      <c r="C610" s="26">
        <v>2</v>
      </c>
      <c r="D610" s="26" t="s">
        <v>24</v>
      </c>
      <c r="E610" s="26">
        <v>304</v>
      </c>
      <c r="F610" s="26">
        <v>1441</v>
      </c>
      <c r="G610" s="22">
        <f t="shared" si="29"/>
        <v>664508</v>
      </c>
      <c r="H610" s="18" t="str">
        <f t="shared" si="27"/>
        <v/>
      </c>
      <c r="I610" s="22" t="str">
        <f t="shared" si="28"/>
        <v/>
      </c>
      <c r="J610" s="20" t="str">
        <f>IF(I610="", "", COUNT($I$12:$I610))</f>
        <v/>
      </c>
      <c r="K610" s="28" t="s">
        <v>628</v>
      </c>
    </row>
    <row r="611" spans="3:11" ht="13.5" customHeight="1" x14ac:dyDescent="0.4">
      <c r="C611" s="26">
        <v>2</v>
      </c>
      <c r="D611" s="26" t="s">
        <v>24</v>
      </c>
      <c r="E611" s="26">
        <v>305</v>
      </c>
      <c r="F611" s="26">
        <v>1273</v>
      </c>
      <c r="G611" s="22">
        <f t="shared" si="29"/>
        <v>665781</v>
      </c>
      <c r="H611" s="18">
        <f t="shared" si="27"/>
        <v>664804.7311827956</v>
      </c>
      <c r="I611" s="22">
        <f t="shared" si="28"/>
        <v>296.73118279560003</v>
      </c>
      <c r="J611" s="20">
        <f>IF(I611="", "", COUNT($I$12:$I611))</f>
        <v>70</v>
      </c>
      <c r="K611" s="28" t="s">
        <v>629</v>
      </c>
    </row>
    <row r="612" spans="3:11" ht="13.5" customHeight="1" x14ac:dyDescent="0.4">
      <c r="C612" s="26">
        <v>2</v>
      </c>
      <c r="D612" s="26" t="s">
        <v>24</v>
      </c>
      <c r="E612" s="26">
        <v>306</v>
      </c>
      <c r="F612" s="26">
        <v>1311</v>
      </c>
      <c r="G612" s="22">
        <f t="shared" si="29"/>
        <v>667092</v>
      </c>
      <c r="H612" s="18" t="str">
        <f t="shared" si="27"/>
        <v/>
      </c>
      <c r="I612" s="22" t="str">
        <f t="shared" si="28"/>
        <v/>
      </c>
      <c r="J612" s="20" t="str">
        <f>IF(I612="", "", COUNT($I$12:$I612))</f>
        <v/>
      </c>
      <c r="K612" s="28" t="s">
        <v>630</v>
      </c>
    </row>
    <row r="613" spans="3:11" ht="13.5" customHeight="1" x14ac:dyDescent="0.4">
      <c r="C613" s="26">
        <v>2</v>
      </c>
      <c r="D613" s="26" t="s">
        <v>24</v>
      </c>
      <c r="E613" s="26">
        <v>307</v>
      </c>
      <c r="F613" s="26">
        <v>1401</v>
      </c>
      <c r="G613" s="22">
        <f t="shared" si="29"/>
        <v>668493</v>
      </c>
      <c r="H613" s="18" t="str">
        <f t="shared" si="27"/>
        <v/>
      </c>
      <c r="I613" s="22" t="str">
        <f t="shared" si="28"/>
        <v/>
      </c>
      <c r="J613" s="20" t="str">
        <f>IF(I613="", "", COUNT($I$12:$I613))</f>
        <v/>
      </c>
      <c r="K613" s="28" t="s">
        <v>631</v>
      </c>
    </row>
    <row r="614" spans="3:11" ht="13.5" customHeight="1" x14ac:dyDescent="0.4">
      <c r="C614" s="26">
        <v>2</v>
      </c>
      <c r="D614" s="26" t="s">
        <v>24</v>
      </c>
      <c r="E614" s="26">
        <v>308</v>
      </c>
      <c r="F614" s="26">
        <v>1402</v>
      </c>
      <c r="G614" s="22">
        <f t="shared" si="29"/>
        <v>669895</v>
      </c>
      <c r="H614" s="18" t="str">
        <f t="shared" si="27"/>
        <v/>
      </c>
      <c r="I614" s="22" t="str">
        <f t="shared" si="28"/>
        <v/>
      </c>
      <c r="J614" s="20" t="str">
        <f>IF(I614="", "", COUNT($I$12:$I614))</f>
        <v/>
      </c>
      <c r="K614" s="28" t="s">
        <v>632</v>
      </c>
    </row>
    <row r="615" spans="3:11" ht="13.5" customHeight="1" x14ac:dyDescent="0.4">
      <c r="C615" s="26">
        <v>3</v>
      </c>
      <c r="D615" s="26" t="s">
        <v>25</v>
      </c>
      <c r="E615" s="26">
        <v>1</v>
      </c>
      <c r="F615" s="26">
        <v>1150</v>
      </c>
      <c r="G615" s="22">
        <f t="shared" si="29"/>
        <v>671045</v>
      </c>
      <c r="H615" s="18" t="str">
        <f t="shared" si="27"/>
        <v/>
      </c>
      <c r="I615" s="22" t="str">
        <f t="shared" si="28"/>
        <v/>
      </c>
      <c r="J615" s="20" t="str">
        <f>IF(I615="", "", COUNT($I$12:$I615))</f>
        <v/>
      </c>
      <c r="K615" s="28" t="s">
        <v>633</v>
      </c>
    </row>
    <row r="616" spans="3:11" ht="13.5" customHeight="1" x14ac:dyDescent="0.4">
      <c r="C616" s="26">
        <v>3</v>
      </c>
      <c r="D616" s="26" t="s">
        <v>25</v>
      </c>
      <c r="E616" s="26">
        <v>2</v>
      </c>
      <c r="F616" s="26">
        <v>963</v>
      </c>
      <c r="G616" s="22">
        <f t="shared" si="29"/>
        <v>672008</v>
      </c>
      <c r="H616" s="18" t="str">
        <f t="shared" si="27"/>
        <v/>
      </c>
      <c r="I616" s="22" t="str">
        <f t="shared" si="28"/>
        <v/>
      </c>
      <c r="J616" s="20" t="str">
        <f>IF(I616="", "", COUNT($I$12:$I616))</f>
        <v/>
      </c>
      <c r="K616" s="28" t="s">
        <v>634</v>
      </c>
    </row>
    <row r="617" spans="3:11" ht="13.5" customHeight="1" x14ac:dyDescent="0.4">
      <c r="C617" s="26">
        <v>3</v>
      </c>
      <c r="D617" s="26" t="s">
        <v>25</v>
      </c>
      <c r="E617" s="26">
        <v>3</v>
      </c>
      <c r="F617" s="26">
        <v>918</v>
      </c>
      <c r="G617" s="22">
        <f t="shared" si="29"/>
        <v>672926</v>
      </c>
      <c r="H617" s="18" t="str">
        <f t="shared" si="27"/>
        <v/>
      </c>
      <c r="I617" s="22" t="str">
        <f t="shared" si="28"/>
        <v/>
      </c>
      <c r="J617" s="20" t="str">
        <f>IF(I617="", "", COUNT($I$12:$I617))</f>
        <v/>
      </c>
      <c r="K617" s="28" t="s">
        <v>635</v>
      </c>
    </row>
    <row r="618" spans="3:11" ht="13.5" customHeight="1" x14ac:dyDescent="0.4">
      <c r="C618" s="26">
        <v>3</v>
      </c>
      <c r="D618" s="26" t="s">
        <v>25</v>
      </c>
      <c r="E618" s="26">
        <v>4</v>
      </c>
      <c r="F618" s="26">
        <v>1000</v>
      </c>
      <c r="G618" s="22">
        <f t="shared" si="29"/>
        <v>673926</v>
      </c>
      <c r="H618" s="18" t="str">
        <f t="shared" si="27"/>
        <v/>
      </c>
      <c r="I618" s="22" t="str">
        <f t="shared" si="28"/>
        <v/>
      </c>
      <c r="J618" s="20" t="str">
        <f>IF(I618="", "", COUNT($I$12:$I618))</f>
        <v/>
      </c>
      <c r="K618" s="28" t="s">
        <v>636</v>
      </c>
    </row>
    <row r="619" spans="3:11" ht="13.5" customHeight="1" x14ac:dyDescent="0.4">
      <c r="C619" s="26">
        <v>3</v>
      </c>
      <c r="D619" s="26" t="s">
        <v>25</v>
      </c>
      <c r="E619" s="26">
        <v>5</v>
      </c>
      <c r="F619" s="26">
        <v>1368</v>
      </c>
      <c r="G619" s="22">
        <f t="shared" si="29"/>
        <v>675294</v>
      </c>
      <c r="H619" s="18">
        <f t="shared" si="27"/>
        <v>674301.65591397847</v>
      </c>
      <c r="I619" s="22">
        <f t="shared" si="28"/>
        <v>375.65591397846583</v>
      </c>
      <c r="J619" s="20">
        <f>IF(I619="", "", COUNT($I$12:$I619))</f>
        <v>71</v>
      </c>
      <c r="K619" s="28" t="s">
        <v>637</v>
      </c>
    </row>
    <row r="620" spans="3:11" ht="13.5" customHeight="1" x14ac:dyDescent="0.4">
      <c r="C620" s="26">
        <v>3</v>
      </c>
      <c r="D620" s="26" t="s">
        <v>25</v>
      </c>
      <c r="E620" s="26">
        <v>6</v>
      </c>
      <c r="F620" s="26">
        <v>1364</v>
      </c>
      <c r="G620" s="22">
        <f t="shared" si="29"/>
        <v>676658</v>
      </c>
      <c r="H620" s="18" t="str">
        <f t="shared" si="27"/>
        <v/>
      </c>
      <c r="I620" s="22" t="str">
        <f t="shared" si="28"/>
        <v/>
      </c>
      <c r="J620" s="20" t="str">
        <f>IF(I620="", "", COUNT($I$12:$I620))</f>
        <v/>
      </c>
      <c r="K620" s="28" t="s">
        <v>638</v>
      </c>
    </row>
    <row r="621" spans="3:11" ht="13.5" customHeight="1" x14ac:dyDescent="0.4">
      <c r="C621" s="26">
        <v>3</v>
      </c>
      <c r="D621" s="26" t="s">
        <v>25</v>
      </c>
      <c r="E621" s="26">
        <v>7</v>
      </c>
      <c r="F621" s="26">
        <v>1155</v>
      </c>
      <c r="G621" s="22">
        <f t="shared" si="29"/>
        <v>677813</v>
      </c>
      <c r="H621" s="18" t="str">
        <f t="shared" si="27"/>
        <v/>
      </c>
      <c r="I621" s="22" t="str">
        <f t="shared" si="28"/>
        <v/>
      </c>
      <c r="J621" s="20" t="str">
        <f>IF(I621="", "", COUNT($I$12:$I621))</f>
        <v/>
      </c>
      <c r="K621" s="28" t="s">
        <v>639</v>
      </c>
    </row>
    <row r="622" spans="3:11" ht="13.5" customHeight="1" x14ac:dyDescent="0.4">
      <c r="C622" s="26">
        <v>3</v>
      </c>
      <c r="D622" s="26" t="s">
        <v>25</v>
      </c>
      <c r="E622" s="26">
        <v>8</v>
      </c>
      <c r="F622" s="26">
        <v>1474</v>
      </c>
      <c r="G622" s="22">
        <f t="shared" si="29"/>
        <v>679287</v>
      </c>
      <c r="H622" s="18" t="str">
        <f t="shared" si="27"/>
        <v/>
      </c>
      <c r="I622" s="22" t="str">
        <f t="shared" si="28"/>
        <v/>
      </c>
      <c r="J622" s="20" t="str">
        <f>IF(I622="", "", COUNT($I$12:$I622))</f>
        <v/>
      </c>
      <c r="K622" s="28" t="s">
        <v>640</v>
      </c>
    </row>
    <row r="623" spans="3:11" ht="13.5" customHeight="1" x14ac:dyDescent="0.4">
      <c r="C623" s="26">
        <v>3</v>
      </c>
      <c r="D623" s="26" t="s">
        <v>25</v>
      </c>
      <c r="E623" s="26">
        <v>9</v>
      </c>
      <c r="F623" s="26">
        <v>1387</v>
      </c>
      <c r="G623" s="22">
        <f t="shared" si="29"/>
        <v>680674</v>
      </c>
      <c r="H623" s="18" t="str">
        <f t="shared" si="27"/>
        <v/>
      </c>
      <c r="I623" s="22" t="str">
        <f t="shared" si="28"/>
        <v/>
      </c>
      <c r="J623" s="20" t="str">
        <f>IF(I623="", "", COUNT($I$12:$I623))</f>
        <v/>
      </c>
      <c r="K623" s="28" t="s">
        <v>641</v>
      </c>
    </row>
    <row r="624" spans="3:11" ht="13.5" customHeight="1" x14ac:dyDescent="0.4">
      <c r="C624" s="26">
        <v>3</v>
      </c>
      <c r="D624" s="26" t="s">
        <v>25</v>
      </c>
      <c r="E624" s="26">
        <v>10</v>
      </c>
      <c r="F624" s="26">
        <v>1432</v>
      </c>
      <c r="G624" s="22">
        <f t="shared" si="29"/>
        <v>682106</v>
      </c>
      <c r="H624" s="18" t="str">
        <f t="shared" si="27"/>
        <v/>
      </c>
      <c r="I624" s="22" t="str">
        <f t="shared" si="28"/>
        <v/>
      </c>
      <c r="J624" s="20" t="str">
        <f>IF(I624="", "", COUNT($I$12:$I624))</f>
        <v/>
      </c>
      <c r="K624" s="28" t="s">
        <v>642</v>
      </c>
    </row>
    <row r="625" spans="3:11" ht="13.5" customHeight="1" x14ac:dyDescent="0.4">
      <c r="C625" s="26">
        <v>3</v>
      </c>
      <c r="D625" s="26" t="s">
        <v>25</v>
      </c>
      <c r="E625" s="26">
        <v>11</v>
      </c>
      <c r="F625" s="26">
        <v>1478</v>
      </c>
      <c r="G625" s="22">
        <f t="shared" si="29"/>
        <v>683584</v>
      </c>
      <c r="H625" s="18" t="str">
        <f t="shared" si="27"/>
        <v/>
      </c>
      <c r="I625" s="22" t="str">
        <f t="shared" si="28"/>
        <v/>
      </c>
      <c r="J625" s="20" t="str">
        <f>IF(I625="", "", COUNT($I$12:$I625))</f>
        <v/>
      </c>
      <c r="K625" s="28" t="s">
        <v>643</v>
      </c>
    </row>
    <row r="626" spans="3:11" ht="13.5" customHeight="1" x14ac:dyDescent="0.4">
      <c r="C626" s="26">
        <v>3</v>
      </c>
      <c r="D626" s="26" t="s">
        <v>25</v>
      </c>
      <c r="E626" s="26">
        <v>12</v>
      </c>
      <c r="F626" s="26">
        <v>1536</v>
      </c>
      <c r="G626" s="22">
        <f t="shared" si="29"/>
        <v>685120</v>
      </c>
      <c r="H626" s="18">
        <f t="shared" si="27"/>
        <v>683798.58064516122</v>
      </c>
      <c r="I626" s="22">
        <f t="shared" si="28"/>
        <v>214.58064516121522</v>
      </c>
      <c r="J626" s="20">
        <f>IF(I626="", "", COUNT($I$12:$I626))</f>
        <v>72</v>
      </c>
      <c r="K626" s="28" t="s">
        <v>644</v>
      </c>
    </row>
    <row r="627" spans="3:11" ht="13.5" customHeight="1" x14ac:dyDescent="0.4">
      <c r="C627" s="26">
        <v>3</v>
      </c>
      <c r="D627" s="26" t="s">
        <v>25</v>
      </c>
      <c r="E627" s="26">
        <v>13</v>
      </c>
      <c r="F627" s="26">
        <v>1671</v>
      </c>
      <c r="G627" s="22">
        <f t="shared" si="29"/>
        <v>686791</v>
      </c>
      <c r="H627" s="18" t="str">
        <f t="shared" si="27"/>
        <v/>
      </c>
      <c r="I627" s="22" t="str">
        <f t="shared" si="28"/>
        <v/>
      </c>
      <c r="J627" s="20" t="str">
        <f>IF(I627="", "", COUNT($I$12:$I627))</f>
        <v/>
      </c>
      <c r="K627" s="28" t="s">
        <v>645</v>
      </c>
    </row>
    <row r="628" spans="3:11" ht="13.5" customHeight="1" x14ac:dyDescent="0.4">
      <c r="C628" s="26">
        <v>3</v>
      </c>
      <c r="D628" s="26" t="s">
        <v>25</v>
      </c>
      <c r="E628" s="26">
        <v>14</v>
      </c>
      <c r="F628" s="26">
        <v>1542</v>
      </c>
      <c r="G628" s="22">
        <f t="shared" si="29"/>
        <v>688333</v>
      </c>
      <c r="H628" s="18" t="str">
        <f t="shared" si="27"/>
        <v/>
      </c>
      <c r="I628" s="22" t="str">
        <f t="shared" si="28"/>
        <v/>
      </c>
      <c r="J628" s="20" t="str">
        <f>IF(I628="", "", COUNT($I$12:$I628))</f>
        <v/>
      </c>
      <c r="K628" s="28" t="s">
        <v>646</v>
      </c>
    </row>
    <row r="629" spans="3:11" ht="13.5" customHeight="1" x14ac:dyDescent="0.4">
      <c r="C629" s="26">
        <v>3</v>
      </c>
      <c r="D629" s="26" t="s">
        <v>25</v>
      </c>
      <c r="E629" s="26">
        <v>15</v>
      </c>
      <c r="F629" s="26">
        <v>1503</v>
      </c>
      <c r="G629" s="22">
        <f t="shared" si="29"/>
        <v>689836</v>
      </c>
      <c r="H629" s="18" t="str">
        <f t="shared" si="27"/>
        <v/>
      </c>
      <c r="I629" s="22" t="str">
        <f t="shared" si="28"/>
        <v/>
      </c>
      <c r="J629" s="20" t="str">
        <f>IF(I629="", "", COUNT($I$12:$I629))</f>
        <v/>
      </c>
      <c r="K629" s="28" t="s">
        <v>647</v>
      </c>
    </row>
    <row r="630" spans="3:11" ht="13.5" customHeight="1" x14ac:dyDescent="0.4">
      <c r="C630" s="26">
        <v>3</v>
      </c>
      <c r="D630" s="26" t="s">
        <v>25</v>
      </c>
      <c r="E630" s="26">
        <v>16</v>
      </c>
      <c r="F630" s="26">
        <v>1501</v>
      </c>
      <c r="G630" s="22">
        <f t="shared" si="29"/>
        <v>691337</v>
      </c>
      <c r="H630" s="18" t="str">
        <f t="shared" si="27"/>
        <v/>
      </c>
      <c r="I630" s="22" t="str">
        <f t="shared" si="28"/>
        <v/>
      </c>
      <c r="J630" s="20" t="str">
        <f>IF(I630="", "", COUNT($I$12:$I630))</f>
        <v/>
      </c>
      <c r="K630" s="28" t="s">
        <v>648</v>
      </c>
    </row>
    <row r="631" spans="3:11" ht="13.5" customHeight="1" x14ac:dyDescent="0.4">
      <c r="C631" s="26">
        <v>3</v>
      </c>
      <c r="D631" s="26" t="s">
        <v>25</v>
      </c>
      <c r="E631" s="26">
        <v>17</v>
      </c>
      <c r="F631" s="26">
        <v>1356</v>
      </c>
      <c r="G631" s="22">
        <f t="shared" si="29"/>
        <v>692693</v>
      </c>
      <c r="H631" s="18" t="str">
        <f t="shared" si="27"/>
        <v/>
      </c>
      <c r="I631" s="22" t="str">
        <f t="shared" si="28"/>
        <v/>
      </c>
      <c r="J631" s="20" t="str">
        <f>IF(I631="", "", COUNT($I$12:$I631))</f>
        <v/>
      </c>
      <c r="K631" s="28" t="s">
        <v>649</v>
      </c>
    </row>
    <row r="632" spans="3:11" ht="13.5" customHeight="1" x14ac:dyDescent="0.4">
      <c r="C632" s="26">
        <v>3</v>
      </c>
      <c r="D632" s="26" t="s">
        <v>25</v>
      </c>
      <c r="E632" s="26">
        <v>18</v>
      </c>
      <c r="F632" s="26">
        <v>1329</v>
      </c>
      <c r="G632" s="22">
        <f t="shared" si="29"/>
        <v>694022</v>
      </c>
      <c r="H632" s="18">
        <f t="shared" si="27"/>
        <v>693295.50537634408</v>
      </c>
      <c r="I632" s="22">
        <f t="shared" si="28"/>
        <v>602.50537634408101</v>
      </c>
      <c r="J632" s="20">
        <f>IF(I632="", "", COUNT($I$12:$I632))</f>
        <v>73</v>
      </c>
      <c r="K632" s="28" t="s">
        <v>650</v>
      </c>
    </row>
    <row r="633" spans="3:11" ht="13.5" customHeight="1" x14ac:dyDescent="0.4">
      <c r="C633" s="26">
        <v>3</v>
      </c>
      <c r="D633" s="26" t="s">
        <v>25</v>
      </c>
      <c r="E633" s="26">
        <v>19</v>
      </c>
      <c r="F633" s="26">
        <v>1342</v>
      </c>
      <c r="G633" s="22">
        <f t="shared" si="29"/>
        <v>695364</v>
      </c>
      <c r="H633" s="18" t="str">
        <f t="shared" si="27"/>
        <v/>
      </c>
      <c r="I633" s="22" t="str">
        <f t="shared" si="28"/>
        <v/>
      </c>
      <c r="J633" s="20" t="str">
        <f>IF(I633="", "", COUNT($I$12:$I633))</f>
        <v/>
      </c>
      <c r="K633" s="28" t="s">
        <v>651</v>
      </c>
    </row>
    <row r="634" spans="3:11" ht="13.5" customHeight="1" x14ac:dyDescent="0.4">
      <c r="C634" s="26">
        <v>3</v>
      </c>
      <c r="D634" s="26" t="s">
        <v>25</v>
      </c>
      <c r="E634" s="26">
        <v>20</v>
      </c>
      <c r="F634" s="26">
        <v>1342</v>
      </c>
      <c r="G634" s="22">
        <f t="shared" si="29"/>
        <v>696706</v>
      </c>
      <c r="H634" s="18" t="str">
        <f t="shared" si="27"/>
        <v/>
      </c>
      <c r="I634" s="22" t="str">
        <f t="shared" si="28"/>
        <v/>
      </c>
      <c r="J634" s="20" t="str">
        <f>IF(I634="", "", COUNT($I$12:$I634))</f>
        <v/>
      </c>
      <c r="K634" s="28" t="s">
        <v>652</v>
      </c>
    </row>
    <row r="635" spans="3:11" ht="13.5" customHeight="1" x14ac:dyDescent="0.4">
      <c r="C635" s="26">
        <v>3</v>
      </c>
      <c r="D635" s="26" t="s">
        <v>25</v>
      </c>
      <c r="E635" s="26">
        <v>21</v>
      </c>
      <c r="F635" s="26">
        <v>1460</v>
      </c>
      <c r="G635" s="22">
        <f t="shared" si="29"/>
        <v>698166</v>
      </c>
      <c r="H635" s="18" t="str">
        <f t="shared" si="27"/>
        <v/>
      </c>
      <c r="I635" s="22" t="str">
        <f t="shared" si="28"/>
        <v/>
      </c>
      <c r="J635" s="20" t="str">
        <f>IF(I635="", "", COUNT($I$12:$I635))</f>
        <v/>
      </c>
      <c r="K635" s="28" t="s">
        <v>653</v>
      </c>
    </row>
    <row r="636" spans="3:11" ht="13.5" customHeight="1" x14ac:dyDescent="0.4">
      <c r="C636" s="26">
        <v>3</v>
      </c>
      <c r="D636" s="26" t="s">
        <v>25</v>
      </c>
      <c r="E636" s="26">
        <v>22</v>
      </c>
      <c r="F636" s="26">
        <v>818</v>
      </c>
      <c r="G636" s="22">
        <f t="shared" si="29"/>
        <v>698984</v>
      </c>
      <c r="H636" s="18" t="str">
        <f t="shared" si="27"/>
        <v/>
      </c>
      <c r="I636" s="22" t="str">
        <f t="shared" si="28"/>
        <v/>
      </c>
      <c r="J636" s="20" t="str">
        <f>IF(I636="", "", COUNT($I$12:$I636))</f>
        <v/>
      </c>
      <c r="K636" s="28" t="s">
        <v>654</v>
      </c>
    </row>
    <row r="637" spans="3:11" ht="13.5" customHeight="1" x14ac:dyDescent="0.4">
      <c r="C637" s="26">
        <v>3</v>
      </c>
      <c r="D637" s="26" t="s">
        <v>25</v>
      </c>
      <c r="E637" s="26">
        <v>23</v>
      </c>
      <c r="F637" s="26">
        <v>1188</v>
      </c>
      <c r="G637" s="22">
        <f t="shared" si="29"/>
        <v>700172</v>
      </c>
      <c r="H637" s="18" t="str">
        <f t="shared" si="27"/>
        <v/>
      </c>
      <c r="I637" s="22" t="str">
        <f t="shared" si="28"/>
        <v/>
      </c>
      <c r="J637" s="20" t="str">
        <f>IF(I637="", "", COUNT($I$12:$I637))</f>
        <v/>
      </c>
      <c r="K637" s="28" t="s">
        <v>655</v>
      </c>
    </row>
    <row r="638" spans="3:11" ht="13.5" customHeight="1" x14ac:dyDescent="0.4">
      <c r="C638" s="26">
        <v>3</v>
      </c>
      <c r="D638" s="26" t="s">
        <v>25</v>
      </c>
      <c r="E638" s="26">
        <v>24</v>
      </c>
      <c r="F638" s="26">
        <v>1496</v>
      </c>
      <c r="G638" s="22">
        <f t="shared" si="29"/>
        <v>701668</v>
      </c>
      <c r="H638" s="18" t="str">
        <f t="shared" si="27"/>
        <v/>
      </c>
      <c r="I638" s="22" t="str">
        <f t="shared" si="28"/>
        <v/>
      </c>
      <c r="J638" s="20" t="str">
        <f>IF(I638="", "", COUNT($I$12:$I638))</f>
        <v/>
      </c>
      <c r="K638" s="28" t="s">
        <v>656</v>
      </c>
    </row>
    <row r="639" spans="3:11" ht="13.5" customHeight="1" x14ac:dyDescent="0.4">
      <c r="C639" s="26">
        <v>3</v>
      </c>
      <c r="D639" s="26" t="s">
        <v>25</v>
      </c>
      <c r="E639" s="26">
        <v>25</v>
      </c>
      <c r="F639" s="26">
        <v>1398</v>
      </c>
      <c r="G639" s="22">
        <f t="shared" si="29"/>
        <v>703066</v>
      </c>
      <c r="H639" s="18">
        <f t="shared" si="27"/>
        <v>702792.43010752683</v>
      </c>
      <c r="I639" s="22">
        <f t="shared" si="28"/>
        <v>1124.4301075268304</v>
      </c>
      <c r="J639" s="20">
        <f>IF(I639="", "", COUNT($I$12:$I639))</f>
        <v>74</v>
      </c>
      <c r="K639" s="28" t="s">
        <v>657</v>
      </c>
    </row>
    <row r="640" spans="3:11" ht="13.5" customHeight="1" x14ac:dyDescent="0.4">
      <c r="C640" s="26">
        <v>3</v>
      </c>
      <c r="D640" s="26" t="s">
        <v>25</v>
      </c>
      <c r="E640" s="26">
        <v>26</v>
      </c>
      <c r="F640" s="26">
        <v>1353</v>
      </c>
      <c r="G640" s="22">
        <f t="shared" si="29"/>
        <v>704419</v>
      </c>
      <c r="H640" s="18" t="str">
        <f t="shared" si="27"/>
        <v/>
      </c>
      <c r="I640" s="22" t="str">
        <f t="shared" si="28"/>
        <v/>
      </c>
      <c r="J640" s="20" t="str">
        <f>IF(I640="", "", COUNT($I$12:$I640))</f>
        <v/>
      </c>
      <c r="K640" s="28" t="s">
        <v>658</v>
      </c>
    </row>
    <row r="641" spans="3:11" ht="13.5" customHeight="1" x14ac:dyDescent="0.4">
      <c r="C641" s="26">
        <v>3</v>
      </c>
      <c r="D641" s="26" t="s">
        <v>25</v>
      </c>
      <c r="E641" s="26">
        <v>27</v>
      </c>
      <c r="F641" s="26">
        <v>975</v>
      </c>
      <c r="G641" s="22">
        <f t="shared" si="29"/>
        <v>705394</v>
      </c>
      <c r="H641" s="18" t="str">
        <f t="shared" si="27"/>
        <v/>
      </c>
      <c r="I641" s="22" t="str">
        <f t="shared" si="28"/>
        <v/>
      </c>
      <c r="J641" s="20" t="str">
        <f>IF(I641="", "", COUNT($I$12:$I641))</f>
        <v/>
      </c>
      <c r="K641" s="28" t="s">
        <v>659</v>
      </c>
    </row>
    <row r="642" spans="3:11" ht="13.5" customHeight="1" x14ac:dyDescent="0.4">
      <c r="C642" s="26">
        <v>3</v>
      </c>
      <c r="D642" s="26" t="s">
        <v>25</v>
      </c>
      <c r="E642" s="26">
        <v>28</v>
      </c>
      <c r="F642" s="26">
        <v>1071</v>
      </c>
      <c r="G642" s="22">
        <f t="shared" si="29"/>
        <v>706465</v>
      </c>
      <c r="H642" s="18" t="str">
        <f t="shared" si="27"/>
        <v/>
      </c>
      <c r="I642" s="22" t="str">
        <f t="shared" si="28"/>
        <v/>
      </c>
      <c r="J642" s="20" t="str">
        <f>IF(I642="", "", COUNT($I$12:$I642))</f>
        <v/>
      </c>
      <c r="K642" s="28" t="s">
        <v>660</v>
      </c>
    </row>
    <row r="643" spans="3:11" ht="13.5" customHeight="1" x14ac:dyDescent="0.4">
      <c r="C643" s="26">
        <v>3</v>
      </c>
      <c r="D643" s="26" t="s">
        <v>25</v>
      </c>
      <c r="E643" s="26">
        <v>29</v>
      </c>
      <c r="F643" s="26">
        <v>1277</v>
      </c>
      <c r="G643" s="22">
        <f t="shared" si="29"/>
        <v>707742</v>
      </c>
      <c r="H643" s="18" t="str">
        <f t="shared" si="27"/>
        <v/>
      </c>
      <c r="I643" s="22" t="str">
        <f t="shared" si="28"/>
        <v/>
      </c>
      <c r="J643" s="20" t="str">
        <f>IF(I643="", "", COUNT($I$12:$I643))</f>
        <v/>
      </c>
      <c r="K643" s="28" t="s">
        <v>661</v>
      </c>
    </row>
    <row r="644" spans="3:11" ht="13.5" customHeight="1" x14ac:dyDescent="0.4">
      <c r="C644" s="26">
        <v>3</v>
      </c>
      <c r="D644" s="26" t="s">
        <v>25</v>
      </c>
      <c r="E644" s="26">
        <v>30</v>
      </c>
      <c r="F644" s="26">
        <v>1370</v>
      </c>
      <c r="G644" s="22">
        <f t="shared" si="29"/>
        <v>709112</v>
      </c>
      <c r="H644" s="18" t="str">
        <f t="shared" si="27"/>
        <v/>
      </c>
      <c r="I644" s="22" t="str">
        <f t="shared" si="28"/>
        <v/>
      </c>
      <c r="J644" s="20" t="str">
        <f>IF(I644="", "", COUNT($I$12:$I644))</f>
        <v/>
      </c>
      <c r="K644" s="28" t="s">
        <v>662</v>
      </c>
    </row>
    <row r="645" spans="3:11" ht="13.5" customHeight="1" x14ac:dyDescent="0.4">
      <c r="C645" s="26">
        <v>3</v>
      </c>
      <c r="D645" s="26" t="s">
        <v>25</v>
      </c>
      <c r="E645" s="26">
        <v>31</v>
      </c>
      <c r="F645" s="26">
        <v>1212</v>
      </c>
      <c r="G645" s="22">
        <f t="shared" si="29"/>
        <v>710324</v>
      </c>
      <c r="H645" s="18" t="str">
        <f t="shared" si="27"/>
        <v/>
      </c>
      <c r="I645" s="22" t="str">
        <f t="shared" si="28"/>
        <v/>
      </c>
      <c r="J645" s="20" t="str">
        <f>IF(I645="", "", COUNT($I$12:$I645))</f>
        <v/>
      </c>
      <c r="K645" s="28" t="s">
        <v>663</v>
      </c>
    </row>
    <row r="646" spans="3:11" ht="13.5" customHeight="1" x14ac:dyDescent="0.4">
      <c r="C646" s="26">
        <v>3</v>
      </c>
      <c r="D646" s="26" t="s">
        <v>25</v>
      </c>
      <c r="E646" s="26">
        <v>32</v>
      </c>
      <c r="F646" s="26">
        <v>966</v>
      </c>
      <c r="G646" s="22">
        <f t="shared" si="29"/>
        <v>711290</v>
      </c>
      <c r="H646" s="18" t="str">
        <f t="shared" si="27"/>
        <v/>
      </c>
      <c r="I646" s="22" t="str">
        <f t="shared" si="28"/>
        <v/>
      </c>
      <c r="J646" s="20" t="str">
        <f>IF(I646="", "", COUNT($I$12:$I646))</f>
        <v/>
      </c>
      <c r="K646" s="28" t="s">
        <v>664</v>
      </c>
    </row>
    <row r="647" spans="3:11" ht="13.5" customHeight="1" x14ac:dyDescent="0.4">
      <c r="C647" s="26">
        <v>3</v>
      </c>
      <c r="D647" s="26" t="s">
        <v>25</v>
      </c>
      <c r="E647" s="26">
        <v>33</v>
      </c>
      <c r="F647" s="26">
        <v>1225</v>
      </c>
      <c r="G647" s="22">
        <f t="shared" si="29"/>
        <v>712515</v>
      </c>
      <c r="H647" s="18">
        <f t="shared" si="27"/>
        <v>712289.35483870958</v>
      </c>
      <c r="I647" s="22">
        <f t="shared" si="28"/>
        <v>999.35483870957978</v>
      </c>
      <c r="J647" s="20">
        <f>IF(I647="", "", COUNT($I$12:$I647))</f>
        <v>75</v>
      </c>
      <c r="K647" s="28" t="s">
        <v>665</v>
      </c>
    </row>
    <row r="648" spans="3:11" ht="13.5" customHeight="1" x14ac:dyDescent="0.4">
      <c r="C648" s="26">
        <v>3</v>
      </c>
      <c r="D648" s="26" t="s">
        <v>25</v>
      </c>
      <c r="E648" s="26">
        <v>34</v>
      </c>
      <c r="F648" s="26">
        <v>1404</v>
      </c>
      <c r="G648" s="22">
        <f t="shared" si="29"/>
        <v>713919</v>
      </c>
      <c r="H648" s="18" t="str">
        <f t="shared" si="27"/>
        <v/>
      </c>
      <c r="I648" s="22" t="str">
        <f t="shared" si="28"/>
        <v/>
      </c>
      <c r="J648" s="20" t="str">
        <f>IF(I648="", "", COUNT($I$12:$I648))</f>
        <v/>
      </c>
      <c r="K648" s="28" t="s">
        <v>666</v>
      </c>
    </row>
    <row r="649" spans="3:11" ht="13.5" customHeight="1" x14ac:dyDescent="0.4">
      <c r="C649" s="26">
        <v>3</v>
      </c>
      <c r="D649" s="26" t="s">
        <v>25</v>
      </c>
      <c r="E649" s="26">
        <v>35</v>
      </c>
      <c r="F649" s="26">
        <v>1232</v>
      </c>
      <c r="G649" s="22">
        <f t="shared" si="29"/>
        <v>715151</v>
      </c>
      <c r="H649" s="18" t="str">
        <f t="shared" si="27"/>
        <v/>
      </c>
      <c r="I649" s="22" t="str">
        <f t="shared" si="28"/>
        <v/>
      </c>
      <c r="J649" s="20" t="str">
        <f>IF(I649="", "", COUNT($I$12:$I649))</f>
        <v/>
      </c>
      <c r="K649" s="28" t="s">
        <v>667</v>
      </c>
    </row>
    <row r="650" spans="3:11" ht="13.5" customHeight="1" x14ac:dyDescent="0.4">
      <c r="C650" s="26">
        <v>3</v>
      </c>
      <c r="D650" s="26" t="s">
        <v>25</v>
      </c>
      <c r="E650" s="26">
        <v>36</v>
      </c>
      <c r="F650" s="26">
        <v>1449</v>
      </c>
      <c r="G650" s="22">
        <f t="shared" si="29"/>
        <v>716600</v>
      </c>
      <c r="H650" s="18" t="str">
        <f t="shared" si="27"/>
        <v/>
      </c>
      <c r="I650" s="22" t="str">
        <f t="shared" si="28"/>
        <v/>
      </c>
      <c r="J650" s="20" t="str">
        <f>IF(I650="", "", COUNT($I$12:$I650))</f>
        <v/>
      </c>
      <c r="K650" s="28" t="s">
        <v>668</v>
      </c>
    </row>
    <row r="651" spans="3:11" ht="13.5" customHeight="1" x14ac:dyDescent="0.4">
      <c r="C651" s="26">
        <v>3</v>
      </c>
      <c r="D651" s="26" t="s">
        <v>25</v>
      </c>
      <c r="E651" s="26">
        <v>37</v>
      </c>
      <c r="F651" s="26">
        <v>1314</v>
      </c>
      <c r="G651" s="22">
        <f t="shared" si="29"/>
        <v>717914</v>
      </c>
      <c r="H651" s="18" t="str">
        <f t="shared" si="27"/>
        <v/>
      </c>
      <c r="I651" s="22" t="str">
        <f t="shared" si="28"/>
        <v/>
      </c>
      <c r="J651" s="20" t="str">
        <f>IF(I651="", "", COUNT($I$12:$I651))</f>
        <v/>
      </c>
      <c r="K651" s="28" t="s">
        <v>669</v>
      </c>
    </row>
    <row r="652" spans="3:11" ht="13.5" customHeight="1" x14ac:dyDescent="0.4">
      <c r="C652" s="26">
        <v>3</v>
      </c>
      <c r="D652" s="26" t="s">
        <v>25</v>
      </c>
      <c r="E652" s="26">
        <v>38</v>
      </c>
      <c r="F652" s="26">
        <v>1412</v>
      </c>
      <c r="G652" s="22">
        <f t="shared" si="29"/>
        <v>719326</v>
      </c>
      <c r="H652" s="18" t="str">
        <f t="shared" ref="H652:H715" si="30">IF(AND(G652 &gt;= ($D$5 + ($C$5 * (INT((G652 - $D$5)/$C$5)))), G651 &lt; ($D$5 + ($C$5 * (INT((G652 - $D$5)/$C$5))))), $D$5 + ($C$5 * INT((G652 - $D$5)/$C$5)), "")</f>
        <v/>
      </c>
      <c r="I652" s="22" t="str">
        <f t="shared" ref="I652:I715" si="31">IFERROR(H652-G651, "")</f>
        <v/>
      </c>
      <c r="J652" s="20" t="str">
        <f>IF(I652="", "", COUNT($I$12:$I652))</f>
        <v/>
      </c>
      <c r="K652" s="28" t="s">
        <v>670</v>
      </c>
    </row>
    <row r="653" spans="3:11" ht="13.5" customHeight="1" x14ac:dyDescent="0.4">
      <c r="C653" s="26">
        <v>3</v>
      </c>
      <c r="D653" s="26" t="s">
        <v>25</v>
      </c>
      <c r="E653" s="26">
        <v>39</v>
      </c>
      <c r="F653" s="26">
        <v>1603</v>
      </c>
      <c r="G653" s="22">
        <f t="shared" si="29"/>
        <v>720929</v>
      </c>
      <c r="H653" s="18" t="str">
        <f t="shared" si="30"/>
        <v/>
      </c>
      <c r="I653" s="22" t="str">
        <f t="shared" si="31"/>
        <v/>
      </c>
      <c r="J653" s="20" t="str">
        <f>IF(I653="", "", COUNT($I$12:$I653))</f>
        <v/>
      </c>
      <c r="K653" s="28" t="s">
        <v>671</v>
      </c>
    </row>
    <row r="654" spans="3:11" ht="13.5" customHeight="1" x14ac:dyDescent="0.4">
      <c r="C654" s="26">
        <v>3</v>
      </c>
      <c r="D654" s="26" t="s">
        <v>25</v>
      </c>
      <c r="E654" s="26">
        <v>40</v>
      </c>
      <c r="F654" s="26">
        <v>1162</v>
      </c>
      <c r="G654" s="22">
        <f t="shared" ref="G654:G717" si="32">G653+F654</f>
        <v>722091</v>
      </c>
      <c r="H654" s="18">
        <f t="shared" si="30"/>
        <v>721786.27956989245</v>
      </c>
      <c r="I654" s="22">
        <f t="shared" si="31"/>
        <v>857.27956989244558</v>
      </c>
      <c r="J654" s="20">
        <f>IF(I654="", "", COUNT($I$12:$I654))</f>
        <v>76</v>
      </c>
      <c r="K654" s="28" t="s">
        <v>672</v>
      </c>
    </row>
    <row r="655" spans="3:11" ht="13.5" customHeight="1" x14ac:dyDescent="0.4">
      <c r="C655" s="26">
        <v>3</v>
      </c>
      <c r="D655" s="26" t="s">
        <v>25</v>
      </c>
      <c r="E655" s="26">
        <v>41</v>
      </c>
      <c r="F655" s="26">
        <v>1011</v>
      </c>
      <c r="G655" s="22">
        <f t="shared" si="32"/>
        <v>723102</v>
      </c>
      <c r="H655" s="18" t="str">
        <f t="shared" si="30"/>
        <v/>
      </c>
      <c r="I655" s="22" t="str">
        <f t="shared" si="31"/>
        <v/>
      </c>
      <c r="J655" s="20" t="str">
        <f>IF(I655="", "", COUNT($I$12:$I655))</f>
        <v/>
      </c>
      <c r="K655" s="28" t="s">
        <v>673</v>
      </c>
    </row>
    <row r="656" spans="3:11" ht="13.5" customHeight="1" x14ac:dyDescent="0.4">
      <c r="C656" s="26">
        <v>3</v>
      </c>
      <c r="D656" s="26" t="s">
        <v>25</v>
      </c>
      <c r="E656" s="26">
        <v>42</v>
      </c>
      <c r="F656" s="26">
        <v>1531</v>
      </c>
      <c r="G656" s="22">
        <f t="shared" si="32"/>
        <v>724633</v>
      </c>
      <c r="H656" s="18" t="str">
        <f t="shared" si="30"/>
        <v/>
      </c>
      <c r="I656" s="22" t="str">
        <f t="shared" si="31"/>
        <v/>
      </c>
      <c r="J656" s="20" t="str">
        <f>IF(I656="", "", COUNT($I$12:$I656))</f>
        <v/>
      </c>
      <c r="K656" s="28" t="s">
        <v>674</v>
      </c>
    </row>
    <row r="657" spans="3:11" ht="13.5" customHeight="1" x14ac:dyDescent="0.4">
      <c r="C657" s="26">
        <v>3</v>
      </c>
      <c r="D657" s="26" t="s">
        <v>25</v>
      </c>
      <c r="E657" s="26">
        <v>43</v>
      </c>
      <c r="F657" s="26">
        <v>1182</v>
      </c>
      <c r="G657" s="22">
        <f t="shared" si="32"/>
        <v>725815</v>
      </c>
      <c r="H657" s="18" t="str">
        <f t="shared" si="30"/>
        <v/>
      </c>
      <c r="I657" s="22" t="str">
        <f t="shared" si="31"/>
        <v/>
      </c>
      <c r="J657" s="20" t="str">
        <f>IF(I657="", "", COUNT($I$12:$I657))</f>
        <v/>
      </c>
      <c r="K657" s="28" t="s">
        <v>675</v>
      </c>
    </row>
    <row r="658" spans="3:11" ht="13.5" customHeight="1" x14ac:dyDescent="0.4">
      <c r="C658" s="26">
        <v>3</v>
      </c>
      <c r="D658" s="26" t="s">
        <v>25</v>
      </c>
      <c r="E658" s="26">
        <v>44</v>
      </c>
      <c r="F658" s="26">
        <v>1134</v>
      </c>
      <c r="G658" s="22">
        <f t="shared" si="32"/>
        <v>726949</v>
      </c>
      <c r="H658" s="18" t="str">
        <f t="shared" si="30"/>
        <v/>
      </c>
      <c r="I658" s="22" t="str">
        <f t="shared" si="31"/>
        <v/>
      </c>
      <c r="J658" s="20" t="str">
        <f>IF(I658="", "", COUNT($I$12:$I658))</f>
        <v/>
      </c>
      <c r="K658" s="28" t="s">
        <v>676</v>
      </c>
    </row>
    <row r="659" spans="3:11" ht="13.5" customHeight="1" x14ac:dyDescent="0.4">
      <c r="C659" s="26">
        <v>3</v>
      </c>
      <c r="D659" s="26" t="s">
        <v>25</v>
      </c>
      <c r="E659" s="26">
        <v>45</v>
      </c>
      <c r="F659" s="26">
        <v>1382</v>
      </c>
      <c r="G659" s="22">
        <f t="shared" si="32"/>
        <v>728331</v>
      </c>
      <c r="H659" s="18" t="str">
        <f t="shared" si="30"/>
        <v/>
      </c>
      <c r="I659" s="22" t="str">
        <f t="shared" si="31"/>
        <v/>
      </c>
      <c r="J659" s="20" t="str">
        <f>IF(I659="", "", COUNT($I$12:$I659))</f>
        <v/>
      </c>
      <c r="K659" s="28" t="s">
        <v>677</v>
      </c>
    </row>
    <row r="660" spans="3:11" ht="13.5" customHeight="1" x14ac:dyDescent="0.4">
      <c r="C660" s="26">
        <v>3</v>
      </c>
      <c r="D660" s="26" t="s">
        <v>25</v>
      </c>
      <c r="E660" s="26">
        <v>46</v>
      </c>
      <c r="F660" s="26">
        <v>1614</v>
      </c>
      <c r="G660" s="22">
        <f t="shared" si="32"/>
        <v>729945</v>
      </c>
      <c r="H660" s="18" t="str">
        <f t="shared" si="30"/>
        <v/>
      </c>
      <c r="I660" s="22" t="str">
        <f t="shared" si="31"/>
        <v/>
      </c>
      <c r="J660" s="20" t="str">
        <f>IF(I660="", "", COUNT($I$12:$I660))</f>
        <v/>
      </c>
      <c r="K660" s="28" t="s">
        <v>678</v>
      </c>
    </row>
    <row r="661" spans="3:11" ht="13.5" customHeight="1" x14ac:dyDescent="0.4">
      <c r="C661" s="26">
        <v>3</v>
      </c>
      <c r="D661" s="26" t="s">
        <v>25</v>
      </c>
      <c r="E661" s="26">
        <v>47</v>
      </c>
      <c r="F661" s="26">
        <v>1393</v>
      </c>
      <c r="G661" s="22">
        <f t="shared" si="32"/>
        <v>731338</v>
      </c>
      <c r="H661" s="18">
        <f t="shared" si="30"/>
        <v>731283.20430107519</v>
      </c>
      <c r="I661" s="22">
        <f t="shared" si="31"/>
        <v>1338.204301075195</v>
      </c>
      <c r="J661" s="20">
        <f>IF(I661="", "", COUNT($I$12:$I661))</f>
        <v>77</v>
      </c>
      <c r="K661" s="28" t="s">
        <v>679</v>
      </c>
    </row>
    <row r="662" spans="3:11" ht="13.5" customHeight="1" x14ac:dyDescent="0.4">
      <c r="C662" s="26">
        <v>3</v>
      </c>
      <c r="D662" s="26" t="s">
        <v>25</v>
      </c>
      <c r="E662" s="26">
        <v>48</v>
      </c>
      <c r="F662" s="26">
        <v>1676</v>
      </c>
      <c r="G662" s="22">
        <f t="shared" si="32"/>
        <v>733014</v>
      </c>
      <c r="H662" s="18" t="str">
        <f t="shared" si="30"/>
        <v/>
      </c>
      <c r="I662" s="22" t="str">
        <f t="shared" si="31"/>
        <v/>
      </c>
      <c r="J662" s="20" t="str">
        <f>IF(I662="", "", COUNT($I$12:$I662))</f>
        <v/>
      </c>
      <c r="K662" s="28" t="s">
        <v>680</v>
      </c>
    </row>
    <row r="663" spans="3:11" ht="13.5" customHeight="1" x14ac:dyDescent="0.4">
      <c r="C663" s="26">
        <v>3</v>
      </c>
      <c r="D663" s="26" t="s">
        <v>25</v>
      </c>
      <c r="E663" s="26">
        <v>49</v>
      </c>
      <c r="F663" s="26">
        <v>1638</v>
      </c>
      <c r="G663" s="22">
        <f t="shared" si="32"/>
        <v>734652</v>
      </c>
      <c r="H663" s="18" t="str">
        <f t="shared" si="30"/>
        <v/>
      </c>
      <c r="I663" s="22" t="str">
        <f t="shared" si="31"/>
        <v/>
      </c>
      <c r="J663" s="20" t="str">
        <f>IF(I663="", "", COUNT($I$12:$I663))</f>
        <v/>
      </c>
      <c r="K663" s="28" t="s">
        <v>681</v>
      </c>
    </row>
    <row r="664" spans="3:11" ht="13.5" customHeight="1" x14ac:dyDescent="0.4">
      <c r="C664" s="26">
        <v>3</v>
      </c>
      <c r="D664" s="26" t="s">
        <v>25</v>
      </c>
      <c r="E664" s="26">
        <v>50</v>
      </c>
      <c r="F664" s="26">
        <v>1057</v>
      </c>
      <c r="G664" s="22">
        <f t="shared" si="32"/>
        <v>735709</v>
      </c>
      <c r="H664" s="18" t="str">
        <f t="shared" si="30"/>
        <v/>
      </c>
      <c r="I664" s="22" t="str">
        <f t="shared" si="31"/>
        <v/>
      </c>
      <c r="J664" s="20" t="str">
        <f>IF(I664="", "", COUNT($I$12:$I664))</f>
        <v/>
      </c>
      <c r="K664" s="28" t="s">
        <v>682</v>
      </c>
    </row>
    <row r="665" spans="3:11" ht="13.5" customHeight="1" x14ac:dyDescent="0.4">
      <c r="C665" s="26">
        <v>3</v>
      </c>
      <c r="D665" s="26" t="s">
        <v>25</v>
      </c>
      <c r="E665" s="26">
        <v>51</v>
      </c>
      <c r="F665" s="26">
        <v>1335</v>
      </c>
      <c r="G665" s="22">
        <f t="shared" si="32"/>
        <v>737044</v>
      </c>
      <c r="H665" s="18" t="str">
        <f t="shared" si="30"/>
        <v/>
      </c>
      <c r="I665" s="22" t="str">
        <f t="shared" si="31"/>
        <v/>
      </c>
      <c r="J665" s="20" t="str">
        <f>IF(I665="", "", COUNT($I$12:$I665))</f>
        <v/>
      </c>
      <c r="K665" s="28" t="s">
        <v>683</v>
      </c>
    </row>
    <row r="666" spans="3:11" ht="13.5" customHeight="1" x14ac:dyDescent="0.4">
      <c r="C666" s="26">
        <v>3</v>
      </c>
      <c r="D666" s="26" t="s">
        <v>25</v>
      </c>
      <c r="E666" s="26">
        <v>52</v>
      </c>
      <c r="F666" s="26">
        <v>1255</v>
      </c>
      <c r="G666" s="22">
        <f t="shared" si="32"/>
        <v>738299</v>
      </c>
      <c r="H666" s="18" t="str">
        <f t="shared" si="30"/>
        <v/>
      </c>
      <c r="I666" s="22" t="str">
        <f t="shared" si="31"/>
        <v/>
      </c>
      <c r="J666" s="20" t="str">
        <f>IF(I666="", "", COUNT($I$12:$I666))</f>
        <v/>
      </c>
      <c r="K666" s="28" t="s">
        <v>684</v>
      </c>
    </row>
    <row r="667" spans="3:11" ht="13.5" customHeight="1" x14ac:dyDescent="0.4">
      <c r="C667" s="26">
        <v>3</v>
      </c>
      <c r="D667" s="26" t="s">
        <v>25</v>
      </c>
      <c r="E667" s="26">
        <v>53</v>
      </c>
      <c r="F667" s="26">
        <v>1111</v>
      </c>
      <c r="G667" s="22">
        <f t="shared" si="32"/>
        <v>739410</v>
      </c>
      <c r="H667" s="18" t="str">
        <f t="shared" si="30"/>
        <v/>
      </c>
      <c r="I667" s="22" t="str">
        <f t="shared" si="31"/>
        <v/>
      </c>
      <c r="J667" s="20" t="str">
        <f>IF(I667="", "", COUNT($I$12:$I667))</f>
        <v/>
      </c>
      <c r="K667" s="28" t="s">
        <v>685</v>
      </c>
    </row>
    <row r="668" spans="3:11" ht="13.5" customHeight="1" x14ac:dyDescent="0.4">
      <c r="C668" s="26">
        <v>3</v>
      </c>
      <c r="D668" s="26" t="s">
        <v>25</v>
      </c>
      <c r="E668" s="26">
        <v>54</v>
      </c>
      <c r="F668" s="26">
        <v>1382</v>
      </c>
      <c r="G668" s="22">
        <f t="shared" si="32"/>
        <v>740792</v>
      </c>
      <c r="H668" s="18">
        <f t="shared" si="30"/>
        <v>740780.12903225794</v>
      </c>
      <c r="I668" s="22">
        <f t="shared" si="31"/>
        <v>1370.1290322579443</v>
      </c>
      <c r="J668" s="20">
        <f>IF(I668="", "", COUNT($I$12:$I668))</f>
        <v>78</v>
      </c>
      <c r="K668" s="28" t="s">
        <v>686</v>
      </c>
    </row>
    <row r="669" spans="3:11" ht="13.5" customHeight="1" x14ac:dyDescent="0.4">
      <c r="C669" s="26">
        <v>3</v>
      </c>
      <c r="D669" s="26" t="s">
        <v>25</v>
      </c>
      <c r="E669" s="26">
        <v>55</v>
      </c>
      <c r="F669" s="26">
        <v>1433</v>
      </c>
      <c r="G669" s="22">
        <f t="shared" si="32"/>
        <v>742225</v>
      </c>
      <c r="H669" s="18" t="str">
        <f t="shared" si="30"/>
        <v/>
      </c>
      <c r="I669" s="22" t="str">
        <f t="shared" si="31"/>
        <v/>
      </c>
      <c r="J669" s="20" t="str">
        <f>IF(I669="", "", COUNT($I$12:$I669))</f>
        <v/>
      </c>
      <c r="K669" s="28" t="s">
        <v>687</v>
      </c>
    </row>
    <row r="670" spans="3:11" ht="13.5" customHeight="1" x14ac:dyDescent="0.4">
      <c r="C670" s="26">
        <v>3</v>
      </c>
      <c r="D670" s="26" t="s">
        <v>25</v>
      </c>
      <c r="E670" s="26">
        <v>56</v>
      </c>
      <c r="F670" s="26">
        <v>1144</v>
      </c>
      <c r="G670" s="22">
        <f t="shared" si="32"/>
        <v>743369</v>
      </c>
      <c r="H670" s="18" t="str">
        <f t="shared" si="30"/>
        <v/>
      </c>
      <c r="I670" s="22" t="str">
        <f t="shared" si="31"/>
        <v/>
      </c>
      <c r="J670" s="20" t="str">
        <f>IF(I670="", "", COUNT($I$12:$I670))</f>
        <v/>
      </c>
      <c r="K670" s="28" t="s">
        <v>688</v>
      </c>
    </row>
    <row r="671" spans="3:11" ht="13.5" customHeight="1" x14ac:dyDescent="0.4">
      <c r="C671" s="26">
        <v>3</v>
      </c>
      <c r="D671" s="26" t="s">
        <v>25</v>
      </c>
      <c r="E671" s="26">
        <v>57</v>
      </c>
      <c r="F671" s="26">
        <v>1402</v>
      </c>
      <c r="G671" s="22">
        <f t="shared" si="32"/>
        <v>744771</v>
      </c>
      <c r="H671" s="18" t="str">
        <f t="shared" si="30"/>
        <v/>
      </c>
      <c r="I671" s="22" t="str">
        <f t="shared" si="31"/>
        <v/>
      </c>
      <c r="J671" s="20" t="str">
        <f>IF(I671="", "", COUNT($I$12:$I671))</f>
        <v/>
      </c>
      <c r="K671" s="28" t="s">
        <v>689</v>
      </c>
    </row>
    <row r="672" spans="3:11" ht="13.5" customHeight="1" x14ac:dyDescent="0.4">
      <c r="C672" s="26">
        <v>3</v>
      </c>
      <c r="D672" s="26" t="s">
        <v>25</v>
      </c>
      <c r="E672" s="26">
        <v>58</v>
      </c>
      <c r="F672" s="26">
        <v>1219</v>
      </c>
      <c r="G672" s="22">
        <f t="shared" si="32"/>
        <v>745990</v>
      </c>
      <c r="H672" s="18" t="str">
        <f t="shared" si="30"/>
        <v/>
      </c>
      <c r="I672" s="22" t="str">
        <f t="shared" si="31"/>
        <v/>
      </c>
      <c r="J672" s="20" t="str">
        <f>IF(I672="", "", COUNT($I$12:$I672))</f>
        <v/>
      </c>
      <c r="K672" s="28" t="s">
        <v>690</v>
      </c>
    </row>
    <row r="673" spans="3:11" ht="13.5" customHeight="1" x14ac:dyDescent="0.4">
      <c r="C673" s="26">
        <v>3</v>
      </c>
      <c r="D673" s="26" t="s">
        <v>25</v>
      </c>
      <c r="E673" s="26">
        <v>59</v>
      </c>
      <c r="F673" s="26">
        <v>1113</v>
      </c>
      <c r="G673" s="22">
        <f t="shared" si="32"/>
        <v>747103</v>
      </c>
      <c r="H673" s="18" t="str">
        <f t="shared" si="30"/>
        <v/>
      </c>
      <c r="I673" s="22" t="str">
        <f t="shared" si="31"/>
        <v/>
      </c>
      <c r="J673" s="20" t="str">
        <f>IF(I673="", "", COUNT($I$12:$I673))</f>
        <v/>
      </c>
      <c r="K673" s="28" t="s">
        <v>691</v>
      </c>
    </row>
    <row r="674" spans="3:11" ht="13.5" customHeight="1" x14ac:dyDescent="0.4">
      <c r="C674" s="26">
        <v>3</v>
      </c>
      <c r="D674" s="26" t="s">
        <v>25</v>
      </c>
      <c r="E674" s="26">
        <v>60</v>
      </c>
      <c r="F674" s="26">
        <v>1264</v>
      </c>
      <c r="G674" s="22">
        <f t="shared" si="32"/>
        <v>748367</v>
      </c>
      <c r="H674" s="18" t="str">
        <f t="shared" si="30"/>
        <v/>
      </c>
      <c r="I674" s="22" t="str">
        <f t="shared" si="31"/>
        <v/>
      </c>
      <c r="J674" s="20" t="str">
        <f>IF(I674="", "", COUNT($I$12:$I674))</f>
        <v/>
      </c>
      <c r="K674" s="28" t="s">
        <v>692</v>
      </c>
    </row>
    <row r="675" spans="3:11" ht="13.5" customHeight="1" x14ac:dyDescent="0.4">
      <c r="C675" s="26">
        <v>3</v>
      </c>
      <c r="D675" s="26" t="s">
        <v>25</v>
      </c>
      <c r="E675" s="26">
        <v>61</v>
      </c>
      <c r="F675" s="26">
        <v>1382</v>
      </c>
      <c r="G675" s="22">
        <f t="shared" si="32"/>
        <v>749749</v>
      </c>
      <c r="H675" s="18" t="str">
        <f t="shared" si="30"/>
        <v/>
      </c>
      <c r="I675" s="22" t="str">
        <f t="shared" si="31"/>
        <v/>
      </c>
      <c r="J675" s="20" t="str">
        <f>IF(I675="", "", COUNT($I$12:$I675))</f>
        <v/>
      </c>
      <c r="K675" s="28" t="s">
        <v>693</v>
      </c>
    </row>
    <row r="676" spans="3:11" ht="13.5" customHeight="1" x14ac:dyDescent="0.4">
      <c r="C676" s="26">
        <v>3</v>
      </c>
      <c r="D676" s="26" t="s">
        <v>25</v>
      </c>
      <c r="E676" s="26">
        <v>62</v>
      </c>
      <c r="F676" s="26">
        <v>978</v>
      </c>
      <c r="G676" s="22">
        <f t="shared" si="32"/>
        <v>750727</v>
      </c>
      <c r="H676" s="18">
        <f t="shared" si="30"/>
        <v>750277.05376344081</v>
      </c>
      <c r="I676" s="22">
        <f t="shared" si="31"/>
        <v>528.05376344081014</v>
      </c>
      <c r="J676" s="20">
        <f>IF(I676="", "", COUNT($I$12:$I676))</f>
        <v>79</v>
      </c>
      <c r="K676" s="28" t="s">
        <v>694</v>
      </c>
    </row>
    <row r="677" spans="3:11" ht="13.5" customHeight="1" x14ac:dyDescent="0.4">
      <c r="C677" s="26">
        <v>3</v>
      </c>
      <c r="D677" s="26" t="s">
        <v>25</v>
      </c>
      <c r="E677" s="26">
        <v>63</v>
      </c>
      <c r="F677" s="26">
        <v>965</v>
      </c>
      <c r="G677" s="22">
        <f t="shared" si="32"/>
        <v>751692</v>
      </c>
      <c r="H677" s="18" t="str">
        <f t="shared" si="30"/>
        <v/>
      </c>
      <c r="I677" s="22" t="str">
        <f t="shared" si="31"/>
        <v/>
      </c>
      <c r="J677" s="20" t="str">
        <f>IF(I677="", "", COUNT($I$12:$I677))</f>
        <v/>
      </c>
      <c r="K677" s="28" t="s">
        <v>695</v>
      </c>
    </row>
    <row r="678" spans="3:11" ht="13.5" customHeight="1" x14ac:dyDescent="0.4">
      <c r="C678" s="26">
        <v>3</v>
      </c>
      <c r="D678" s="26" t="s">
        <v>25</v>
      </c>
      <c r="E678" s="26">
        <v>64</v>
      </c>
      <c r="F678" s="26">
        <v>960</v>
      </c>
      <c r="G678" s="22">
        <f t="shared" si="32"/>
        <v>752652</v>
      </c>
      <c r="H678" s="18" t="str">
        <f t="shared" si="30"/>
        <v/>
      </c>
      <c r="I678" s="22" t="str">
        <f t="shared" si="31"/>
        <v/>
      </c>
      <c r="J678" s="20" t="str">
        <f>IF(I678="", "", COUNT($I$12:$I678))</f>
        <v/>
      </c>
      <c r="K678" s="28" t="s">
        <v>696</v>
      </c>
    </row>
    <row r="679" spans="3:11" ht="13.5" customHeight="1" x14ac:dyDescent="0.4">
      <c r="C679" s="26">
        <v>3</v>
      </c>
      <c r="D679" s="26" t="s">
        <v>25</v>
      </c>
      <c r="E679" s="26">
        <v>65</v>
      </c>
      <c r="F679" s="26">
        <v>1457</v>
      </c>
      <c r="G679" s="22">
        <f t="shared" si="32"/>
        <v>754109</v>
      </c>
      <c r="H679" s="18" t="str">
        <f t="shared" si="30"/>
        <v/>
      </c>
      <c r="I679" s="22" t="str">
        <f t="shared" si="31"/>
        <v/>
      </c>
      <c r="J679" s="20" t="str">
        <f>IF(I679="", "", COUNT($I$12:$I679))</f>
        <v/>
      </c>
      <c r="K679" s="28" t="s">
        <v>697</v>
      </c>
    </row>
    <row r="680" spans="3:11" ht="13.5" customHeight="1" x14ac:dyDescent="0.4">
      <c r="C680" s="26">
        <v>3</v>
      </c>
      <c r="D680" s="26" t="s">
        <v>25</v>
      </c>
      <c r="E680" s="26">
        <v>66</v>
      </c>
      <c r="F680" s="26">
        <v>1044</v>
      </c>
      <c r="G680" s="22">
        <f t="shared" si="32"/>
        <v>755153</v>
      </c>
      <c r="H680" s="18" t="str">
        <f t="shared" si="30"/>
        <v/>
      </c>
      <c r="I680" s="22" t="str">
        <f t="shared" si="31"/>
        <v/>
      </c>
      <c r="J680" s="20" t="str">
        <f>IF(I680="", "", COUNT($I$12:$I680))</f>
        <v/>
      </c>
      <c r="K680" s="28" t="s">
        <v>698</v>
      </c>
    </row>
    <row r="681" spans="3:11" ht="13.5" customHeight="1" x14ac:dyDescent="0.4">
      <c r="C681" s="26">
        <v>3</v>
      </c>
      <c r="D681" s="26" t="s">
        <v>25</v>
      </c>
      <c r="E681" s="26">
        <v>67</v>
      </c>
      <c r="F681" s="26">
        <v>816</v>
      </c>
      <c r="G681" s="22">
        <f t="shared" si="32"/>
        <v>755969</v>
      </c>
      <c r="H681" s="18" t="str">
        <f t="shared" si="30"/>
        <v/>
      </c>
      <c r="I681" s="22" t="str">
        <f t="shared" si="31"/>
        <v/>
      </c>
      <c r="J681" s="20" t="str">
        <f>IF(I681="", "", COUNT($I$12:$I681))</f>
        <v/>
      </c>
      <c r="K681" s="28" t="s">
        <v>699</v>
      </c>
    </row>
    <row r="682" spans="3:11" ht="13.5" customHeight="1" x14ac:dyDescent="0.4">
      <c r="C682" s="26">
        <v>3</v>
      </c>
      <c r="D682" s="26" t="s">
        <v>25</v>
      </c>
      <c r="E682" s="26">
        <v>68</v>
      </c>
      <c r="F682" s="26">
        <v>945</v>
      </c>
      <c r="G682" s="22">
        <f t="shared" si="32"/>
        <v>756914</v>
      </c>
      <c r="H682" s="18" t="str">
        <f t="shared" si="30"/>
        <v/>
      </c>
      <c r="I682" s="22" t="str">
        <f t="shared" si="31"/>
        <v/>
      </c>
      <c r="J682" s="20" t="str">
        <f>IF(I682="", "", COUNT($I$12:$I682))</f>
        <v/>
      </c>
      <c r="K682" s="28" t="s">
        <v>700</v>
      </c>
    </row>
    <row r="683" spans="3:11" ht="13.5" customHeight="1" x14ac:dyDescent="0.4">
      <c r="C683" s="26">
        <v>3</v>
      </c>
      <c r="D683" s="26" t="s">
        <v>25</v>
      </c>
      <c r="E683" s="26">
        <v>69</v>
      </c>
      <c r="F683" s="26">
        <v>1141</v>
      </c>
      <c r="G683" s="22">
        <f t="shared" si="32"/>
        <v>758055</v>
      </c>
      <c r="H683" s="18" t="str">
        <f t="shared" si="30"/>
        <v/>
      </c>
      <c r="I683" s="22" t="str">
        <f t="shared" si="31"/>
        <v/>
      </c>
      <c r="J683" s="20" t="str">
        <f>IF(I683="", "", COUNT($I$12:$I683))</f>
        <v/>
      </c>
      <c r="K683" s="28" t="s">
        <v>701</v>
      </c>
    </row>
    <row r="684" spans="3:11" ht="13.5" customHeight="1" x14ac:dyDescent="0.4">
      <c r="C684" s="26">
        <v>3</v>
      </c>
      <c r="D684" s="26" t="s">
        <v>25</v>
      </c>
      <c r="E684" s="26">
        <v>70</v>
      </c>
      <c r="F684" s="26">
        <v>905</v>
      </c>
      <c r="G684" s="22">
        <f t="shared" si="32"/>
        <v>758960</v>
      </c>
      <c r="H684" s="18" t="str">
        <f t="shared" si="30"/>
        <v/>
      </c>
      <c r="I684" s="22" t="str">
        <f t="shared" si="31"/>
        <v/>
      </c>
      <c r="J684" s="20" t="str">
        <f>IF(I684="", "", COUNT($I$12:$I684))</f>
        <v/>
      </c>
      <c r="K684" s="28" t="s">
        <v>702</v>
      </c>
    </row>
    <row r="685" spans="3:11" ht="13.5" customHeight="1" x14ac:dyDescent="0.4">
      <c r="C685" s="26">
        <v>3</v>
      </c>
      <c r="D685" s="26" t="s">
        <v>25</v>
      </c>
      <c r="E685" s="26">
        <v>71</v>
      </c>
      <c r="F685" s="26">
        <v>1221</v>
      </c>
      <c r="G685" s="22">
        <f t="shared" si="32"/>
        <v>760181</v>
      </c>
      <c r="H685" s="18">
        <f t="shared" si="30"/>
        <v>759773.97849462356</v>
      </c>
      <c r="I685" s="22">
        <f t="shared" si="31"/>
        <v>813.97849462355953</v>
      </c>
      <c r="J685" s="20">
        <f>IF(I685="", "", COUNT($I$12:$I685))</f>
        <v>80</v>
      </c>
      <c r="K685" s="28" t="s">
        <v>703</v>
      </c>
    </row>
    <row r="686" spans="3:11" ht="13.5" customHeight="1" x14ac:dyDescent="0.4">
      <c r="C686" s="26">
        <v>3</v>
      </c>
      <c r="D686" s="26" t="s">
        <v>25</v>
      </c>
      <c r="E686" s="26">
        <v>72</v>
      </c>
      <c r="F686" s="26">
        <v>1411</v>
      </c>
      <c r="G686" s="22">
        <f t="shared" si="32"/>
        <v>761592</v>
      </c>
      <c r="H686" s="18" t="str">
        <f t="shared" si="30"/>
        <v/>
      </c>
      <c r="I686" s="22" t="str">
        <f t="shared" si="31"/>
        <v/>
      </c>
      <c r="J686" s="20" t="str">
        <f>IF(I686="", "", COUNT($I$12:$I686))</f>
        <v/>
      </c>
      <c r="K686" s="28" t="s">
        <v>704</v>
      </c>
    </row>
    <row r="687" spans="3:11" ht="13.5" customHeight="1" x14ac:dyDescent="0.4">
      <c r="C687" s="26">
        <v>3</v>
      </c>
      <c r="D687" s="26" t="s">
        <v>25</v>
      </c>
      <c r="E687" s="26">
        <v>73</v>
      </c>
      <c r="F687" s="26">
        <v>1336</v>
      </c>
      <c r="G687" s="22">
        <f t="shared" si="32"/>
        <v>762928</v>
      </c>
      <c r="H687" s="18" t="str">
        <f t="shared" si="30"/>
        <v/>
      </c>
      <c r="I687" s="22" t="str">
        <f t="shared" si="31"/>
        <v/>
      </c>
      <c r="J687" s="20" t="str">
        <f>IF(I687="", "", COUNT($I$12:$I687))</f>
        <v/>
      </c>
      <c r="K687" s="28" t="s">
        <v>705</v>
      </c>
    </row>
    <row r="688" spans="3:11" ht="13.5" customHeight="1" x14ac:dyDescent="0.4">
      <c r="C688" s="26">
        <v>3</v>
      </c>
      <c r="D688" s="26" t="s">
        <v>25</v>
      </c>
      <c r="E688" s="26">
        <v>74</v>
      </c>
      <c r="F688" s="26">
        <v>1218</v>
      </c>
      <c r="G688" s="22">
        <f t="shared" si="32"/>
        <v>764146</v>
      </c>
      <c r="H688" s="18" t="str">
        <f t="shared" si="30"/>
        <v/>
      </c>
      <c r="I688" s="22" t="str">
        <f t="shared" si="31"/>
        <v/>
      </c>
      <c r="J688" s="20" t="str">
        <f>IF(I688="", "", COUNT($I$12:$I688))</f>
        <v/>
      </c>
      <c r="K688" s="28" t="s">
        <v>706</v>
      </c>
    </row>
    <row r="689" spans="3:11" ht="13.5" customHeight="1" x14ac:dyDescent="0.4">
      <c r="C689" s="26">
        <v>3</v>
      </c>
      <c r="D689" s="26" t="s">
        <v>25</v>
      </c>
      <c r="E689" s="26">
        <v>75</v>
      </c>
      <c r="F689" s="26">
        <v>1237</v>
      </c>
      <c r="G689" s="22">
        <f t="shared" si="32"/>
        <v>765383</v>
      </c>
      <c r="H689" s="18" t="str">
        <f t="shared" si="30"/>
        <v/>
      </c>
      <c r="I689" s="22" t="str">
        <f t="shared" si="31"/>
        <v/>
      </c>
      <c r="J689" s="20" t="str">
        <f>IF(I689="", "", COUNT($I$12:$I689))</f>
        <v/>
      </c>
      <c r="K689" s="28" t="s">
        <v>707</v>
      </c>
    </row>
    <row r="690" spans="3:11" ht="13.5" customHeight="1" x14ac:dyDescent="0.4">
      <c r="C690" s="26">
        <v>3</v>
      </c>
      <c r="D690" s="26" t="s">
        <v>25</v>
      </c>
      <c r="E690" s="26">
        <v>76</v>
      </c>
      <c r="F690" s="26">
        <v>1178</v>
      </c>
      <c r="G690" s="22">
        <f t="shared" si="32"/>
        <v>766561</v>
      </c>
      <c r="H690" s="18" t="str">
        <f t="shared" si="30"/>
        <v/>
      </c>
      <c r="I690" s="22" t="str">
        <f t="shared" si="31"/>
        <v/>
      </c>
      <c r="J690" s="20" t="str">
        <f>IF(I690="", "", COUNT($I$12:$I690))</f>
        <v/>
      </c>
      <c r="K690" s="28" t="s">
        <v>708</v>
      </c>
    </row>
    <row r="691" spans="3:11" ht="13.5" customHeight="1" x14ac:dyDescent="0.4">
      <c r="C691" s="26">
        <v>3</v>
      </c>
      <c r="D691" s="26" t="s">
        <v>25</v>
      </c>
      <c r="E691" s="26">
        <v>77</v>
      </c>
      <c r="F691" s="26">
        <v>1246</v>
      </c>
      <c r="G691" s="22">
        <f t="shared" si="32"/>
        <v>767807</v>
      </c>
      <c r="H691" s="18" t="str">
        <f t="shared" si="30"/>
        <v/>
      </c>
      <c r="I691" s="22" t="str">
        <f t="shared" si="31"/>
        <v/>
      </c>
      <c r="J691" s="20" t="str">
        <f>IF(I691="", "", COUNT($I$12:$I691))</f>
        <v/>
      </c>
      <c r="K691" s="28" t="s">
        <v>709</v>
      </c>
    </row>
    <row r="692" spans="3:11" ht="13.5" customHeight="1" x14ac:dyDescent="0.4">
      <c r="C692" s="26">
        <v>3</v>
      </c>
      <c r="D692" s="26" t="s">
        <v>25</v>
      </c>
      <c r="E692" s="26">
        <v>78</v>
      </c>
      <c r="F692" s="26">
        <v>813</v>
      </c>
      <c r="G692" s="22">
        <f t="shared" si="32"/>
        <v>768620</v>
      </c>
      <c r="H692" s="18" t="str">
        <f t="shared" si="30"/>
        <v/>
      </c>
      <c r="I692" s="22" t="str">
        <f t="shared" si="31"/>
        <v/>
      </c>
      <c r="J692" s="20" t="str">
        <f>IF(I692="", "", COUNT($I$12:$I692))</f>
        <v/>
      </c>
      <c r="K692" s="28" t="s">
        <v>710</v>
      </c>
    </row>
    <row r="693" spans="3:11" ht="13.5" customHeight="1" x14ac:dyDescent="0.4">
      <c r="C693" s="26">
        <v>3</v>
      </c>
      <c r="D693" s="26" t="s">
        <v>25</v>
      </c>
      <c r="E693" s="26">
        <v>79</v>
      </c>
      <c r="F693" s="26">
        <v>1358</v>
      </c>
      <c r="G693" s="22">
        <f t="shared" si="32"/>
        <v>769978</v>
      </c>
      <c r="H693" s="18">
        <f t="shared" si="30"/>
        <v>769270.90322580643</v>
      </c>
      <c r="I693" s="22">
        <f t="shared" si="31"/>
        <v>650.90322580642533</v>
      </c>
      <c r="J693" s="20">
        <f>IF(I693="", "", COUNT($I$12:$I693))</f>
        <v>81</v>
      </c>
      <c r="K693" s="28" t="s">
        <v>711</v>
      </c>
    </row>
    <row r="694" spans="3:11" ht="13.5" customHeight="1" x14ac:dyDescent="0.4">
      <c r="C694" s="26">
        <v>3</v>
      </c>
      <c r="D694" s="26" t="s">
        <v>25</v>
      </c>
      <c r="E694" s="26">
        <v>80</v>
      </c>
      <c r="F694" s="26">
        <v>1168</v>
      </c>
      <c r="G694" s="22">
        <f t="shared" si="32"/>
        <v>771146</v>
      </c>
      <c r="H694" s="18" t="str">
        <f t="shared" si="30"/>
        <v/>
      </c>
      <c r="I694" s="22" t="str">
        <f t="shared" si="31"/>
        <v/>
      </c>
      <c r="J694" s="20" t="str">
        <f>IF(I694="", "", COUNT($I$12:$I694))</f>
        <v/>
      </c>
      <c r="K694" s="28" t="s">
        <v>712</v>
      </c>
    </row>
    <row r="695" spans="3:11" ht="13.5" customHeight="1" x14ac:dyDescent="0.4">
      <c r="C695" s="26">
        <v>3</v>
      </c>
      <c r="D695" s="26" t="s">
        <v>25</v>
      </c>
      <c r="E695" s="26">
        <v>81</v>
      </c>
      <c r="F695" s="26">
        <v>1469</v>
      </c>
      <c r="G695" s="22">
        <f t="shared" si="32"/>
        <v>772615</v>
      </c>
      <c r="H695" s="18" t="str">
        <f t="shared" si="30"/>
        <v/>
      </c>
      <c r="I695" s="22" t="str">
        <f t="shared" si="31"/>
        <v/>
      </c>
      <c r="J695" s="20" t="str">
        <f>IF(I695="", "", COUNT($I$12:$I695))</f>
        <v/>
      </c>
      <c r="K695" s="28" t="s">
        <v>713</v>
      </c>
    </row>
    <row r="696" spans="3:11" ht="13.5" customHeight="1" x14ac:dyDescent="0.4">
      <c r="C696" s="26">
        <v>3</v>
      </c>
      <c r="D696" s="26" t="s">
        <v>25</v>
      </c>
      <c r="E696" s="26">
        <v>82</v>
      </c>
      <c r="F696" s="26">
        <v>973</v>
      </c>
      <c r="G696" s="22">
        <f t="shared" si="32"/>
        <v>773588</v>
      </c>
      <c r="H696" s="18" t="str">
        <f t="shared" si="30"/>
        <v/>
      </c>
      <c r="I696" s="22" t="str">
        <f t="shared" si="31"/>
        <v/>
      </c>
      <c r="J696" s="20" t="str">
        <f>IF(I696="", "", COUNT($I$12:$I696))</f>
        <v/>
      </c>
      <c r="K696" s="28" t="s">
        <v>714</v>
      </c>
    </row>
    <row r="697" spans="3:11" ht="13.5" customHeight="1" x14ac:dyDescent="0.4">
      <c r="C697" s="26">
        <v>3</v>
      </c>
      <c r="D697" s="26" t="s">
        <v>25</v>
      </c>
      <c r="E697" s="26">
        <v>83</v>
      </c>
      <c r="F697" s="26">
        <v>1003</v>
      </c>
      <c r="G697" s="22">
        <f t="shared" si="32"/>
        <v>774591</v>
      </c>
      <c r="H697" s="18" t="str">
        <f t="shared" si="30"/>
        <v/>
      </c>
      <c r="I697" s="22" t="str">
        <f t="shared" si="31"/>
        <v/>
      </c>
      <c r="J697" s="20" t="str">
        <f>IF(I697="", "", COUNT($I$12:$I697))</f>
        <v/>
      </c>
      <c r="K697" s="28" t="s">
        <v>715</v>
      </c>
    </row>
    <row r="698" spans="3:11" ht="13.5" customHeight="1" x14ac:dyDescent="0.4">
      <c r="C698" s="26">
        <v>3</v>
      </c>
      <c r="D698" s="26" t="s">
        <v>25</v>
      </c>
      <c r="E698" s="26">
        <v>84</v>
      </c>
      <c r="F698" s="26">
        <v>1193</v>
      </c>
      <c r="G698" s="22">
        <f t="shared" si="32"/>
        <v>775784</v>
      </c>
      <c r="H698" s="18" t="str">
        <f t="shared" si="30"/>
        <v/>
      </c>
      <c r="I698" s="22" t="str">
        <f t="shared" si="31"/>
        <v/>
      </c>
      <c r="J698" s="20" t="str">
        <f>IF(I698="", "", COUNT($I$12:$I698))</f>
        <v/>
      </c>
      <c r="K698" s="28" t="s">
        <v>716</v>
      </c>
    </row>
    <row r="699" spans="3:11" ht="13.5" customHeight="1" x14ac:dyDescent="0.4">
      <c r="C699" s="26">
        <v>3</v>
      </c>
      <c r="D699" s="26" t="s">
        <v>25</v>
      </c>
      <c r="E699" s="26">
        <v>85</v>
      </c>
      <c r="F699" s="26">
        <v>972</v>
      </c>
      <c r="G699" s="22">
        <f t="shared" si="32"/>
        <v>776756</v>
      </c>
      <c r="H699" s="18" t="str">
        <f t="shared" si="30"/>
        <v/>
      </c>
      <c r="I699" s="22" t="str">
        <f t="shared" si="31"/>
        <v/>
      </c>
      <c r="J699" s="20" t="str">
        <f>IF(I699="", "", COUNT($I$12:$I699))</f>
        <v/>
      </c>
      <c r="K699" s="28" t="s">
        <v>717</v>
      </c>
    </row>
    <row r="700" spans="3:11" ht="13.5" customHeight="1" x14ac:dyDescent="0.4">
      <c r="C700" s="26">
        <v>3</v>
      </c>
      <c r="D700" s="26" t="s">
        <v>25</v>
      </c>
      <c r="E700" s="26">
        <v>86</v>
      </c>
      <c r="F700" s="26">
        <v>869</v>
      </c>
      <c r="G700" s="22">
        <f t="shared" si="32"/>
        <v>777625</v>
      </c>
      <c r="H700" s="18" t="str">
        <f t="shared" si="30"/>
        <v/>
      </c>
      <c r="I700" s="22" t="str">
        <f t="shared" si="31"/>
        <v/>
      </c>
      <c r="J700" s="20" t="str">
        <f>IF(I700="", "", COUNT($I$12:$I700))</f>
        <v/>
      </c>
      <c r="K700" s="28" t="s">
        <v>718</v>
      </c>
    </row>
    <row r="701" spans="3:11" ht="13.5" customHeight="1" x14ac:dyDescent="0.4">
      <c r="C701" s="26">
        <v>3</v>
      </c>
      <c r="D701" s="26" t="s">
        <v>25</v>
      </c>
      <c r="E701" s="26">
        <v>87</v>
      </c>
      <c r="F701" s="26">
        <v>977</v>
      </c>
      <c r="G701" s="22">
        <f t="shared" si="32"/>
        <v>778602</v>
      </c>
      <c r="H701" s="18" t="str">
        <f t="shared" si="30"/>
        <v/>
      </c>
      <c r="I701" s="22" t="str">
        <f t="shared" si="31"/>
        <v/>
      </c>
      <c r="J701" s="20" t="str">
        <f>IF(I701="", "", COUNT($I$12:$I701))</f>
        <v/>
      </c>
      <c r="K701" s="28" t="s">
        <v>719</v>
      </c>
    </row>
    <row r="702" spans="3:11" ht="13.5" customHeight="1" x14ac:dyDescent="0.4">
      <c r="C702" s="26">
        <v>3</v>
      </c>
      <c r="D702" s="26" t="s">
        <v>25</v>
      </c>
      <c r="E702" s="26">
        <v>88</v>
      </c>
      <c r="F702" s="26">
        <v>1022</v>
      </c>
      <c r="G702" s="22">
        <f t="shared" si="32"/>
        <v>779624</v>
      </c>
      <c r="H702" s="18">
        <f t="shared" si="30"/>
        <v>778767.82795698917</v>
      </c>
      <c r="I702" s="22">
        <f t="shared" si="31"/>
        <v>165.82795698917471</v>
      </c>
      <c r="J702" s="20">
        <f>IF(I702="", "", COUNT($I$12:$I702))</f>
        <v>82</v>
      </c>
      <c r="K702" s="28" t="s">
        <v>720</v>
      </c>
    </row>
    <row r="703" spans="3:11" ht="13.5" customHeight="1" x14ac:dyDescent="0.4">
      <c r="C703" s="26">
        <v>3</v>
      </c>
      <c r="D703" s="26" t="s">
        <v>25</v>
      </c>
      <c r="E703" s="26">
        <v>89</v>
      </c>
      <c r="F703" s="26">
        <v>1420</v>
      </c>
      <c r="G703" s="22">
        <f t="shared" si="32"/>
        <v>781044</v>
      </c>
      <c r="H703" s="18" t="str">
        <f t="shared" si="30"/>
        <v/>
      </c>
      <c r="I703" s="22" t="str">
        <f t="shared" si="31"/>
        <v/>
      </c>
      <c r="J703" s="20" t="str">
        <f>IF(I703="", "", COUNT($I$12:$I703))</f>
        <v/>
      </c>
      <c r="K703" s="28" t="s">
        <v>721</v>
      </c>
    </row>
    <row r="704" spans="3:11" ht="13.5" customHeight="1" x14ac:dyDescent="0.4">
      <c r="C704" s="26">
        <v>3</v>
      </c>
      <c r="D704" s="26" t="s">
        <v>25</v>
      </c>
      <c r="E704" s="26">
        <v>90</v>
      </c>
      <c r="F704" s="26">
        <v>951</v>
      </c>
      <c r="G704" s="22">
        <f t="shared" si="32"/>
        <v>781995</v>
      </c>
      <c r="H704" s="18" t="str">
        <f t="shared" si="30"/>
        <v/>
      </c>
      <c r="I704" s="22" t="str">
        <f t="shared" si="31"/>
        <v/>
      </c>
      <c r="J704" s="20" t="str">
        <f>IF(I704="", "", COUNT($I$12:$I704))</f>
        <v/>
      </c>
      <c r="K704" s="28" t="s">
        <v>722</v>
      </c>
    </row>
    <row r="705" spans="3:11" ht="13.5" customHeight="1" x14ac:dyDescent="0.4">
      <c r="C705" s="26">
        <v>3</v>
      </c>
      <c r="D705" s="26" t="s">
        <v>25</v>
      </c>
      <c r="E705" s="26">
        <v>91</v>
      </c>
      <c r="F705" s="26">
        <v>1362</v>
      </c>
      <c r="G705" s="22">
        <f t="shared" si="32"/>
        <v>783357</v>
      </c>
      <c r="H705" s="18" t="str">
        <f t="shared" si="30"/>
        <v/>
      </c>
      <c r="I705" s="22" t="str">
        <f t="shared" si="31"/>
        <v/>
      </c>
      <c r="J705" s="20" t="str">
        <f>IF(I705="", "", COUNT($I$12:$I705))</f>
        <v/>
      </c>
      <c r="K705" s="28" t="s">
        <v>723</v>
      </c>
    </row>
    <row r="706" spans="3:11" ht="13.5" customHeight="1" x14ac:dyDescent="0.4">
      <c r="C706" s="26">
        <v>3</v>
      </c>
      <c r="D706" s="26" t="s">
        <v>25</v>
      </c>
      <c r="E706" s="26">
        <v>92</v>
      </c>
      <c r="F706" s="26">
        <v>1181</v>
      </c>
      <c r="G706" s="22">
        <f t="shared" si="32"/>
        <v>784538</v>
      </c>
      <c r="H706" s="18" t="str">
        <f t="shared" si="30"/>
        <v/>
      </c>
      <c r="I706" s="22" t="str">
        <f t="shared" si="31"/>
        <v/>
      </c>
      <c r="J706" s="20" t="str">
        <f>IF(I706="", "", COUNT($I$12:$I706))</f>
        <v/>
      </c>
      <c r="K706" s="28" t="s">
        <v>724</v>
      </c>
    </row>
    <row r="707" spans="3:11" ht="13.5" customHeight="1" x14ac:dyDescent="0.4">
      <c r="C707" s="26">
        <v>3</v>
      </c>
      <c r="D707" s="26" t="s">
        <v>25</v>
      </c>
      <c r="E707" s="26">
        <v>93</v>
      </c>
      <c r="F707" s="26">
        <v>1372</v>
      </c>
      <c r="G707" s="22">
        <f t="shared" si="32"/>
        <v>785910</v>
      </c>
      <c r="H707" s="18" t="str">
        <f t="shared" si="30"/>
        <v/>
      </c>
      <c r="I707" s="22" t="str">
        <f t="shared" si="31"/>
        <v/>
      </c>
      <c r="J707" s="20" t="str">
        <f>IF(I707="", "", COUNT($I$12:$I707))</f>
        <v/>
      </c>
      <c r="K707" s="28" t="s">
        <v>725</v>
      </c>
    </row>
    <row r="708" spans="3:11" ht="13.5" customHeight="1" x14ac:dyDescent="0.4">
      <c r="C708" s="26">
        <v>3</v>
      </c>
      <c r="D708" s="26" t="s">
        <v>25</v>
      </c>
      <c r="E708" s="26">
        <v>94</v>
      </c>
      <c r="F708" s="26">
        <v>972</v>
      </c>
      <c r="G708" s="22">
        <f t="shared" si="32"/>
        <v>786882</v>
      </c>
      <c r="H708" s="18" t="str">
        <f t="shared" si="30"/>
        <v/>
      </c>
      <c r="I708" s="22" t="str">
        <f t="shared" si="31"/>
        <v/>
      </c>
      <c r="J708" s="20" t="str">
        <f>IF(I708="", "", COUNT($I$12:$I708))</f>
        <v/>
      </c>
      <c r="K708" s="28" t="s">
        <v>726</v>
      </c>
    </row>
    <row r="709" spans="3:11" ht="13.5" customHeight="1" x14ac:dyDescent="0.4">
      <c r="C709" s="26">
        <v>3</v>
      </c>
      <c r="D709" s="26" t="s">
        <v>25</v>
      </c>
      <c r="E709" s="26">
        <v>95</v>
      </c>
      <c r="F709" s="26">
        <v>965</v>
      </c>
      <c r="G709" s="22">
        <f t="shared" si="32"/>
        <v>787847</v>
      </c>
      <c r="H709" s="18" t="str">
        <f t="shared" si="30"/>
        <v/>
      </c>
      <c r="I709" s="22" t="str">
        <f t="shared" si="31"/>
        <v/>
      </c>
      <c r="J709" s="20" t="str">
        <f>IF(I709="", "", COUNT($I$12:$I709))</f>
        <v/>
      </c>
      <c r="K709" s="28" t="s">
        <v>727</v>
      </c>
    </row>
    <row r="710" spans="3:11" ht="13.5" customHeight="1" x14ac:dyDescent="0.4">
      <c r="C710" s="26">
        <v>3</v>
      </c>
      <c r="D710" s="26" t="s">
        <v>25</v>
      </c>
      <c r="E710" s="26">
        <v>96</v>
      </c>
      <c r="F710" s="26">
        <v>1017</v>
      </c>
      <c r="G710" s="22">
        <f t="shared" si="32"/>
        <v>788864</v>
      </c>
      <c r="H710" s="18">
        <f t="shared" si="30"/>
        <v>788264.75268817192</v>
      </c>
      <c r="I710" s="22">
        <f t="shared" si="31"/>
        <v>417.75268817192409</v>
      </c>
      <c r="J710" s="20">
        <f>IF(I710="", "", COUNT($I$12:$I710))</f>
        <v>83</v>
      </c>
      <c r="K710" s="28" t="s">
        <v>728</v>
      </c>
    </row>
    <row r="711" spans="3:11" ht="13.5" customHeight="1" x14ac:dyDescent="0.4">
      <c r="C711" s="26">
        <v>3</v>
      </c>
      <c r="D711" s="26" t="s">
        <v>25</v>
      </c>
      <c r="E711" s="26">
        <v>97</v>
      </c>
      <c r="F711" s="26">
        <v>999</v>
      </c>
      <c r="G711" s="22">
        <f t="shared" si="32"/>
        <v>789863</v>
      </c>
      <c r="H711" s="18" t="str">
        <f t="shared" si="30"/>
        <v/>
      </c>
      <c r="I711" s="22" t="str">
        <f t="shared" si="31"/>
        <v/>
      </c>
      <c r="J711" s="20" t="str">
        <f>IF(I711="", "", COUNT($I$12:$I711))</f>
        <v/>
      </c>
      <c r="K711" s="28" t="s">
        <v>729</v>
      </c>
    </row>
    <row r="712" spans="3:11" ht="13.5" customHeight="1" x14ac:dyDescent="0.4">
      <c r="C712" s="26">
        <v>3</v>
      </c>
      <c r="D712" s="26" t="s">
        <v>25</v>
      </c>
      <c r="E712" s="26">
        <v>98</v>
      </c>
      <c r="F712" s="26">
        <v>1114</v>
      </c>
      <c r="G712" s="22">
        <f t="shared" si="32"/>
        <v>790977</v>
      </c>
      <c r="H712" s="18" t="str">
        <f t="shared" si="30"/>
        <v/>
      </c>
      <c r="I712" s="22" t="str">
        <f t="shared" si="31"/>
        <v/>
      </c>
      <c r="J712" s="20" t="str">
        <f>IF(I712="", "", COUNT($I$12:$I712))</f>
        <v/>
      </c>
      <c r="K712" s="28" t="s">
        <v>730</v>
      </c>
    </row>
    <row r="713" spans="3:11" ht="13.5" customHeight="1" x14ac:dyDescent="0.4">
      <c r="C713" s="26">
        <v>3</v>
      </c>
      <c r="D713" s="26" t="s">
        <v>25</v>
      </c>
      <c r="E713" s="26">
        <v>99</v>
      </c>
      <c r="F713" s="26">
        <v>1170</v>
      </c>
      <c r="G713" s="22">
        <f t="shared" si="32"/>
        <v>792147</v>
      </c>
      <c r="H713" s="18" t="str">
        <f t="shared" si="30"/>
        <v/>
      </c>
      <c r="I713" s="22" t="str">
        <f t="shared" si="31"/>
        <v/>
      </c>
      <c r="J713" s="20" t="str">
        <f>IF(I713="", "", COUNT($I$12:$I713))</f>
        <v/>
      </c>
      <c r="K713" s="28" t="s">
        <v>731</v>
      </c>
    </row>
    <row r="714" spans="3:11" ht="13.5" customHeight="1" x14ac:dyDescent="0.4">
      <c r="C714" s="26">
        <v>3</v>
      </c>
      <c r="D714" s="26" t="s">
        <v>25</v>
      </c>
      <c r="E714" s="26">
        <v>100</v>
      </c>
      <c r="F714" s="26">
        <v>1203</v>
      </c>
      <c r="G714" s="22">
        <f t="shared" si="32"/>
        <v>793350</v>
      </c>
      <c r="H714" s="18" t="str">
        <f t="shared" si="30"/>
        <v/>
      </c>
      <c r="I714" s="22" t="str">
        <f t="shared" si="31"/>
        <v/>
      </c>
      <c r="J714" s="20" t="str">
        <f>IF(I714="", "", COUNT($I$12:$I714))</f>
        <v/>
      </c>
      <c r="K714" s="28" t="s">
        <v>732</v>
      </c>
    </row>
    <row r="715" spans="3:11" ht="13.5" customHeight="1" x14ac:dyDescent="0.4">
      <c r="C715" s="26">
        <v>3</v>
      </c>
      <c r="D715" s="26" t="s">
        <v>25</v>
      </c>
      <c r="E715" s="26">
        <v>101</v>
      </c>
      <c r="F715" s="26">
        <v>1131</v>
      </c>
      <c r="G715" s="22">
        <f t="shared" si="32"/>
        <v>794481</v>
      </c>
      <c r="H715" s="18" t="str">
        <f t="shared" si="30"/>
        <v/>
      </c>
      <c r="I715" s="22" t="str">
        <f t="shared" si="31"/>
        <v/>
      </c>
      <c r="J715" s="20" t="str">
        <f>IF(I715="", "", COUNT($I$12:$I715))</f>
        <v/>
      </c>
      <c r="K715" s="28" t="s">
        <v>733</v>
      </c>
    </row>
    <row r="716" spans="3:11" ht="13.5" customHeight="1" x14ac:dyDescent="0.4">
      <c r="C716" s="26">
        <v>3</v>
      </c>
      <c r="D716" s="26" t="s">
        <v>25</v>
      </c>
      <c r="E716" s="26">
        <v>102</v>
      </c>
      <c r="F716" s="26">
        <v>982</v>
      </c>
      <c r="G716" s="22">
        <f t="shared" si="32"/>
        <v>795463</v>
      </c>
      <c r="H716" s="18" t="str">
        <f t="shared" ref="H716:H779" si="33">IF(AND(G716 &gt;= ($D$5 + ($C$5 * (INT((G716 - $D$5)/$C$5)))), G715 &lt; ($D$5 + ($C$5 * (INT((G716 - $D$5)/$C$5))))), $D$5 + ($C$5 * INT((G716 - $D$5)/$C$5)), "")</f>
        <v/>
      </c>
      <c r="I716" s="22" t="str">
        <f t="shared" ref="I716:I779" si="34">IFERROR(H716-G715, "")</f>
        <v/>
      </c>
      <c r="J716" s="20" t="str">
        <f>IF(I716="", "", COUNT($I$12:$I716))</f>
        <v/>
      </c>
      <c r="K716" s="28" t="s">
        <v>734</v>
      </c>
    </row>
    <row r="717" spans="3:11" ht="13.5" customHeight="1" x14ac:dyDescent="0.4">
      <c r="C717" s="26">
        <v>3</v>
      </c>
      <c r="D717" s="26" t="s">
        <v>25</v>
      </c>
      <c r="E717" s="26">
        <v>103</v>
      </c>
      <c r="F717" s="26">
        <v>1262</v>
      </c>
      <c r="G717" s="22">
        <f t="shared" si="32"/>
        <v>796725</v>
      </c>
      <c r="H717" s="18" t="str">
        <f t="shared" si="33"/>
        <v/>
      </c>
      <c r="I717" s="22" t="str">
        <f t="shared" si="34"/>
        <v/>
      </c>
      <c r="J717" s="20" t="str">
        <f>IF(I717="", "", COUNT($I$12:$I717))</f>
        <v/>
      </c>
      <c r="K717" s="28" t="s">
        <v>735</v>
      </c>
    </row>
    <row r="718" spans="3:11" ht="13.5" customHeight="1" x14ac:dyDescent="0.4">
      <c r="C718" s="26">
        <v>3</v>
      </c>
      <c r="D718" s="26" t="s">
        <v>25</v>
      </c>
      <c r="E718" s="26">
        <v>104</v>
      </c>
      <c r="F718" s="26">
        <v>1424</v>
      </c>
      <c r="G718" s="22">
        <f t="shared" ref="G718:G781" si="35">G717+F718</f>
        <v>798149</v>
      </c>
      <c r="H718" s="18">
        <f t="shared" si="33"/>
        <v>797761.67741935479</v>
      </c>
      <c r="I718" s="22">
        <f t="shared" si="34"/>
        <v>1036.6774193547899</v>
      </c>
      <c r="J718" s="20">
        <f>IF(I718="", "", COUNT($I$12:$I718))</f>
        <v>84</v>
      </c>
      <c r="K718" s="28" t="s">
        <v>736</v>
      </c>
    </row>
    <row r="719" spans="3:11" ht="13.5" customHeight="1" x14ac:dyDescent="0.4">
      <c r="C719" s="26">
        <v>3</v>
      </c>
      <c r="D719" s="26" t="s">
        <v>25</v>
      </c>
      <c r="E719" s="26">
        <v>105</v>
      </c>
      <c r="F719" s="26">
        <v>1344</v>
      </c>
      <c r="G719" s="22">
        <f t="shared" si="35"/>
        <v>799493</v>
      </c>
      <c r="H719" s="18" t="str">
        <f t="shared" si="33"/>
        <v/>
      </c>
      <c r="I719" s="22" t="str">
        <f t="shared" si="34"/>
        <v/>
      </c>
      <c r="J719" s="20" t="str">
        <f>IF(I719="", "", COUNT($I$12:$I719))</f>
        <v/>
      </c>
      <c r="K719" s="28" t="s">
        <v>737</v>
      </c>
    </row>
    <row r="720" spans="3:11" ht="13.5" customHeight="1" x14ac:dyDescent="0.4">
      <c r="C720" s="26">
        <v>3</v>
      </c>
      <c r="D720" s="26" t="s">
        <v>25</v>
      </c>
      <c r="E720" s="26">
        <v>106</v>
      </c>
      <c r="F720" s="26">
        <v>808</v>
      </c>
      <c r="G720" s="22">
        <f t="shared" si="35"/>
        <v>800301</v>
      </c>
      <c r="H720" s="18" t="str">
        <f t="shared" si="33"/>
        <v/>
      </c>
      <c r="I720" s="22" t="str">
        <f t="shared" si="34"/>
        <v/>
      </c>
      <c r="J720" s="20" t="str">
        <f>IF(I720="", "", COUNT($I$12:$I720))</f>
        <v/>
      </c>
      <c r="K720" s="28" t="s">
        <v>738</v>
      </c>
    </row>
    <row r="721" spans="3:11" ht="13.5" customHeight="1" x14ac:dyDescent="0.4">
      <c r="C721" s="26">
        <v>3</v>
      </c>
      <c r="D721" s="26" t="s">
        <v>25</v>
      </c>
      <c r="E721" s="26">
        <v>107</v>
      </c>
      <c r="F721" s="26">
        <v>1177</v>
      </c>
      <c r="G721" s="22">
        <f t="shared" si="35"/>
        <v>801478</v>
      </c>
      <c r="H721" s="18" t="str">
        <f t="shared" si="33"/>
        <v/>
      </c>
      <c r="I721" s="22" t="str">
        <f t="shared" si="34"/>
        <v/>
      </c>
      <c r="J721" s="20" t="str">
        <f>IF(I721="", "", COUNT($I$12:$I721))</f>
        <v/>
      </c>
      <c r="K721" s="28" t="s">
        <v>739</v>
      </c>
    </row>
    <row r="722" spans="3:11" ht="13.5" customHeight="1" x14ac:dyDescent="0.4">
      <c r="C722" s="26">
        <v>3</v>
      </c>
      <c r="D722" s="26" t="s">
        <v>25</v>
      </c>
      <c r="E722" s="26">
        <v>108</v>
      </c>
      <c r="F722" s="26">
        <v>1113</v>
      </c>
      <c r="G722" s="22">
        <f t="shared" si="35"/>
        <v>802591</v>
      </c>
      <c r="H722" s="18" t="str">
        <f t="shared" si="33"/>
        <v/>
      </c>
      <c r="I722" s="22" t="str">
        <f t="shared" si="34"/>
        <v/>
      </c>
      <c r="J722" s="20" t="str">
        <f>IF(I722="", "", COUNT($I$12:$I722))</f>
        <v/>
      </c>
      <c r="K722" s="28" t="s">
        <v>740</v>
      </c>
    </row>
    <row r="723" spans="3:11" ht="13.5" customHeight="1" x14ac:dyDescent="0.4">
      <c r="C723" s="26">
        <v>3</v>
      </c>
      <c r="D723" s="26" t="s">
        <v>25</v>
      </c>
      <c r="E723" s="26">
        <v>109</v>
      </c>
      <c r="F723" s="26">
        <v>806</v>
      </c>
      <c r="G723" s="22">
        <f t="shared" si="35"/>
        <v>803397</v>
      </c>
      <c r="H723" s="18" t="str">
        <f t="shared" si="33"/>
        <v/>
      </c>
      <c r="I723" s="22" t="str">
        <f t="shared" si="34"/>
        <v/>
      </c>
      <c r="J723" s="20" t="str">
        <f>IF(I723="", "", COUNT($I$12:$I723))</f>
        <v/>
      </c>
      <c r="K723" s="28" t="s">
        <v>741</v>
      </c>
    </row>
    <row r="724" spans="3:11" ht="13.5" customHeight="1" x14ac:dyDescent="0.4">
      <c r="C724" s="26">
        <v>3</v>
      </c>
      <c r="D724" s="26" t="s">
        <v>25</v>
      </c>
      <c r="E724" s="26">
        <v>110</v>
      </c>
      <c r="F724" s="26">
        <v>1297</v>
      </c>
      <c r="G724" s="22">
        <f t="shared" si="35"/>
        <v>804694</v>
      </c>
      <c r="H724" s="18" t="str">
        <f t="shared" si="33"/>
        <v/>
      </c>
      <c r="I724" s="22" t="str">
        <f t="shared" si="34"/>
        <v/>
      </c>
      <c r="J724" s="20" t="str">
        <f>IF(I724="", "", COUNT($I$12:$I724))</f>
        <v/>
      </c>
      <c r="K724" s="28" t="s">
        <v>742</v>
      </c>
    </row>
    <row r="725" spans="3:11" ht="13.5" customHeight="1" x14ac:dyDescent="0.4">
      <c r="C725" s="26">
        <v>3</v>
      </c>
      <c r="D725" s="26" t="s">
        <v>25</v>
      </c>
      <c r="E725" s="26">
        <v>111</v>
      </c>
      <c r="F725" s="26">
        <v>1014</v>
      </c>
      <c r="G725" s="22">
        <f t="shared" si="35"/>
        <v>805708</v>
      </c>
      <c r="H725" s="18" t="str">
        <f t="shared" si="33"/>
        <v/>
      </c>
      <c r="I725" s="22" t="str">
        <f t="shared" si="34"/>
        <v/>
      </c>
      <c r="J725" s="20" t="str">
        <f>IF(I725="", "", COUNT($I$12:$I725))</f>
        <v/>
      </c>
      <c r="K725" s="28" t="s">
        <v>743</v>
      </c>
    </row>
    <row r="726" spans="3:11" ht="13.5" customHeight="1" x14ac:dyDescent="0.4">
      <c r="C726" s="26">
        <v>3</v>
      </c>
      <c r="D726" s="26" t="s">
        <v>25</v>
      </c>
      <c r="E726" s="26">
        <v>112</v>
      </c>
      <c r="F726" s="26">
        <v>1063</v>
      </c>
      <c r="G726" s="22">
        <f t="shared" si="35"/>
        <v>806771</v>
      </c>
      <c r="H726" s="18" t="str">
        <f t="shared" si="33"/>
        <v/>
      </c>
      <c r="I726" s="22" t="str">
        <f t="shared" si="34"/>
        <v/>
      </c>
      <c r="J726" s="20" t="str">
        <f>IF(I726="", "", COUNT($I$12:$I726))</f>
        <v/>
      </c>
      <c r="K726" s="28" t="s">
        <v>744</v>
      </c>
    </row>
    <row r="727" spans="3:11" ht="13.5" customHeight="1" x14ac:dyDescent="0.4">
      <c r="C727" s="26">
        <v>3</v>
      </c>
      <c r="D727" s="26" t="s">
        <v>25</v>
      </c>
      <c r="E727" s="26">
        <v>113</v>
      </c>
      <c r="F727" s="26">
        <v>1459</v>
      </c>
      <c r="G727" s="22">
        <f t="shared" si="35"/>
        <v>808230</v>
      </c>
      <c r="H727" s="18">
        <f t="shared" si="33"/>
        <v>807258.60215053754</v>
      </c>
      <c r="I727" s="22">
        <f t="shared" si="34"/>
        <v>487.60215053753927</v>
      </c>
      <c r="J727" s="20">
        <f>IF(I727="", "", COUNT($I$12:$I727))</f>
        <v>85</v>
      </c>
      <c r="K727" s="28" t="s">
        <v>745</v>
      </c>
    </row>
    <row r="728" spans="3:11" ht="13.5" customHeight="1" x14ac:dyDescent="0.4">
      <c r="C728" s="26">
        <v>3</v>
      </c>
      <c r="D728" s="26" t="s">
        <v>25</v>
      </c>
      <c r="E728" s="26">
        <v>114</v>
      </c>
      <c r="F728" s="26">
        <v>1358</v>
      </c>
      <c r="G728" s="22">
        <f t="shared" si="35"/>
        <v>809588</v>
      </c>
      <c r="H728" s="18" t="str">
        <f t="shared" si="33"/>
        <v/>
      </c>
      <c r="I728" s="22" t="str">
        <f t="shared" si="34"/>
        <v/>
      </c>
      <c r="J728" s="20" t="str">
        <f>IF(I728="", "", COUNT($I$12:$I728))</f>
        <v/>
      </c>
      <c r="K728" s="28" t="s">
        <v>746</v>
      </c>
    </row>
    <row r="729" spans="3:11" ht="13.5" customHeight="1" x14ac:dyDescent="0.4">
      <c r="C729" s="26">
        <v>3</v>
      </c>
      <c r="D729" s="26" t="s">
        <v>25</v>
      </c>
      <c r="E729" s="26">
        <v>115</v>
      </c>
      <c r="F729" s="26">
        <v>1150</v>
      </c>
      <c r="G729" s="22">
        <f t="shared" si="35"/>
        <v>810738</v>
      </c>
      <c r="H729" s="18" t="str">
        <f t="shared" si="33"/>
        <v/>
      </c>
      <c r="I729" s="22" t="str">
        <f t="shared" si="34"/>
        <v/>
      </c>
      <c r="J729" s="20" t="str">
        <f>IF(I729="", "", COUNT($I$12:$I729))</f>
        <v/>
      </c>
      <c r="K729" s="28" t="s">
        <v>747</v>
      </c>
    </row>
    <row r="730" spans="3:11" ht="13.5" customHeight="1" x14ac:dyDescent="0.4">
      <c r="C730" s="26">
        <v>3</v>
      </c>
      <c r="D730" s="26" t="s">
        <v>25</v>
      </c>
      <c r="E730" s="26">
        <v>116</v>
      </c>
      <c r="F730" s="26">
        <v>1268</v>
      </c>
      <c r="G730" s="22">
        <f t="shared" si="35"/>
        <v>812006</v>
      </c>
      <c r="H730" s="18" t="str">
        <f t="shared" si="33"/>
        <v/>
      </c>
      <c r="I730" s="22" t="str">
        <f t="shared" si="34"/>
        <v/>
      </c>
      <c r="J730" s="20" t="str">
        <f>IF(I730="", "", COUNT($I$12:$I730))</f>
        <v/>
      </c>
      <c r="K730" s="28" t="s">
        <v>748</v>
      </c>
    </row>
    <row r="731" spans="3:11" ht="13.5" customHeight="1" x14ac:dyDescent="0.4">
      <c r="C731" s="26">
        <v>3</v>
      </c>
      <c r="D731" s="26" t="s">
        <v>25</v>
      </c>
      <c r="E731" s="26">
        <v>117</v>
      </c>
      <c r="F731" s="26">
        <v>1496</v>
      </c>
      <c r="G731" s="22">
        <f t="shared" si="35"/>
        <v>813502</v>
      </c>
      <c r="H731" s="18" t="str">
        <f t="shared" si="33"/>
        <v/>
      </c>
      <c r="I731" s="22" t="str">
        <f t="shared" si="34"/>
        <v/>
      </c>
      <c r="J731" s="20" t="str">
        <f>IF(I731="", "", COUNT($I$12:$I731))</f>
        <v/>
      </c>
      <c r="K731" s="28" t="s">
        <v>749</v>
      </c>
    </row>
    <row r="732" spans="3:11" ht="13.5" customHeight="1" x14ac:dyDescent="0.4">
      <c r="C732" s="26">
        <v>3</v>
      </c>
      <c r="D732" s="26" t="s">
        <v>25</v>
      </c>
      <c r="E732" s="26">
        <v>118</v>
      </c>
      <c r="F732" s="26">
        <v>1522</v>
      </c>
      <c r="G732" s="22">
        <f t="shared" si="35"/>
        <v>815024</v>
      </c>
      <c r="H732" s="18" t="str">
        <f t="shared" si="33"/>
        <v/>
      </c>
      <c r="I732" s="22" t="str">
        <f t="shared" si="34"/>
        <v/>
      </c>
      <c r="J732" s="20" t="str">
        <f>IF(I732="", "", COUNT($I$12:$I732))</f>
        <v/>
      </c>
      <c r="K732" s="28" t="s">
        <v>750</v>
      </c>
    </row>
    <row r="733" spans="3:11" ht="13.5" customHeight="1" x14ac:dyDescent="0.4">
      <c r="C733" s="26">
        <v>3</v>
      </c>
      <c r="D733" s="26" t="s">
        <v>25</v>
      </c>
      <c r="E733" s="26">
        <v>119</v>
      </c>
      <c r="F733" s="26">
        <v>1282</v>
      </c>
      <c r="G733" s="22">
        <f t="shared" si="35"/>
        <v>816306</v>
      </c>
      <c r="H733" s="18" t="str">
        <f t="shared" si="33"/>
        <v/>
      </c>
      <c r="I733" s="22" t="str">
        <f t="shared" si="34"/>
        <v/>
      </c>
      <c r="J733" s="20" t="str">
        <f>IF(I733="", "", COUNT($I$12:$I733))</f>
        <v/>
      </c>
      <c r="K733" s="28" t="s">
        <v>751</v>
      </c>
    </row>
    <row r="734" spans="3:11" ht="13.5" customHeight="1" x14ac:dyDescent="0.4">
      <c r="C734" s="26">
        <v>3</v>
      </c>
      <c r="D734" s="26" t="s">
        <v>25</v>
      </c>
      <c r="E734" s="26">
        <v>120</v>
      </c>
      <c r="F734" s="26">
        <v>1376</v>
      </c>
      <c r="G734" s="22">
        <f t="shared" si="35"/>
        <v>817682</v>
      </c>
      <c r="H734" s="18">
        <f t="shared" si="33"/>
        <v>816755.52688172041</v>
      </c>
      <c r="I734" s="22">
        <f t="shared" si="34"/>
        <v>449.52688172040507</v>
      </c>
      <c r="J734" s="20">
        <f>IF(I734="", "", COUNT($I$12:$I734))</f>
        <v>86</v>
      </c>
      <c r="K734" s="28" t="s">
        <v>752</v>
      </c>
    </row>
    <row r="735" spans="3:11" ht="13.5" customHeight="1" x14ac:dyDescent="0.4">
      <c r="C735" s="26">
        <v>3</v>
      </c>
      <c r="D735" s="26" t="s">
        <v>25</v>
      </c>
      <c r="E735" s="26">
        <v>121</v>
      </c>
      <c r="F735" s="26">
        <v>992</v>
      </c>
      <c r="G735" s="22">
        <f t="shared" si="35"/>
        <v>818674</v>
      </c>
      <c r="H735" s="18" t="str">
        <f t="shared" si="33"/>
        <v/>
      </c>
      <c r="I735" s="22" t="str">
        <f t="shared" si="34"/>
        <v/>
      </c>
      <c r="J735" s="20" t="str">
        <f>IF(I735="", "", COUNT($I$12:$I735))</f>
        <v/>
      </c>
      <c r="K735" s="28" t="s">
        <v>753</v>
      </c>
    </row>
    <row r="736" spans="3:11" ht="13.5" customHeight="1" x14ac:dyDescent="0.4">
      <c r="C736" s="26">
        <v>3</v>
      </c>
      <c r="D736" s="26" t="s">
        <v>25</v>
      </c>
      <c r="E736" s="26">
        <v>122</v>
      </c>
      <c r="F736" s="26">
        <v>1079</v>
      </c>
      <c r="G736" s="22">
        <f t="shared" si="35"/>
        <v>819753</v>
      </c>
      <c r="H736" s="18" t="str">
        <f t="shared" si="33"/>
        <v/>
      </c>
      <c r="I736" s="22" t="str">
        <f t="shared" si="34"/>
        <v/>
      </c>
      <c r="J736" s="20" t="str">
        <f>IF(I736="", "", COUNT($I$12:$I736))</f>
        <v/>
      </c>
      <c r="K736" s="28" t="s">
        <v>754</v>
      </c>
    </row>
    <row r="737" spans="3:11" ht="13.5" customHeight="1" x14ac:dyDescent="0.4">
      <c r="C737" s="26">
        <v>3</v>
      </c>
      <c r="D737" s="26" t="s">
        <v>25</v>
      </c>
      <c r="E737" s="26">
        <v>123</v>
      </c>
      <c r="F737" s="26">
        <v>655</v>
      </c>
      <c r="G737" s="22">
        <f t="shared" si="35"/>
        <v>820408</v>
      </c>
      <c r="H737" s="18" t="str">
        <f t="shared" si="33"/>
        <v/>
      </c>
      <c r="I737" s="22" t="str">
        <f t="shared" si="34"/>
        <v/>
      </c>
      <c r="J737" s="20" t="str">
        <f>IF(I737="", "", COUNT($I$12:$I737))</f>
        <v/>
      </c>
      <c r="K737" s="28" t="s">
        <v>755</v>
      </c>
    </row>
    <row r="738" spans="3:11" ht="13.5" customHeight="1" x14ac:dyDescent="0.4">
      <c r="C738" s="26">
        <v>3</v>
      </c>
      <c r="D738" s="26" t="s">
        <v>25</v>
      </c>
      <c r="E738" s="26">
        <v>124</v>
      </c>
      <c r="F738" s="26">
        <v>779</v>
      </c>
      <c r="G738" s="22">
        <f t="shared" si="35"/>
        <v>821187</v>
      </c>
      <c r="H738" s="18" t="str">
        <f t="shared" si="33"/>
        <v/>
      </c>
      <c r="I738" s="22" t="str">
        <f t="shared" si="34"/>
        <v/>
      </c>
      <c r="J738" s="20" t="str">
        <f>IF(I738="", "", COUNT($I$12:$I738))</f>
        <v/>
      </c>
      <c r="K738" s="28" t="s">
        <v>756</v>
      </c>
    </row>
    <row r="739" spans="3:11" ht="13.5" customHeight="1" x14ac:dyDescent="0.4">
      <c r="C739" s="26">
        <v>3</v>
      </c>
      <c r="D739" s="26" t="s">
        <v>25</v>
      </c>
      <c r="E739" s="26">
        <v>125</v>
      </c>
      <c r="F739" s="26">
        <v>1247</v>
      </c>
      <c r="G739" s="22">
        <f t="shared" si="35"/>
        <v>822434</v>
      </c>
      <c r="H739" s="18" t="str">
        <f t="shared" si="33"/>
        <v/>
      </c>
      <c r="I739" s="22" t="str">
        <f t="shared" si="34"/>
        <v/>
      </c>
      <c r="J739" s="20" t="str">
        <f>IF(I739="", "", COUNT($I$12:$I739))</f>
        <v/>
      </c>
      <c r="K739" s="28" t="s">
        <v>757</v>
      </c>
    </row>
    <row r="740" spans="3:11" ht="13.5" customHeight="1" x14ac:dyDescent="0.4">
      <c r="C740" s="26">
        <v>3</v>
      </c>
      <c r="D740" s="26" t="s">
        <v>25</v>
      </c>
      <c r="E740" s="26">
        <v>126</v>
      </c>
      <c r="F740" s="26">
        <v>1382</v>
      </c>
      <c r="G740" s="22">
        <f t="shared" si="35"/>
        <v>823816</v>
      </c>
      <c r="H740" s="18" t="str">
        <f t="shared" si="33"/>
        <v/>
      </c>
      <c r="I740" s="22" t="str">
        <f t="shared" si="34"/>
        <v/>
      </c>
      <c r="J740" s="20" t="str">
        <f>IF(I740="", "", COUNT($I$12:$I740))</f>
        <v/>
      </c>
      <c r="K740" s="28" t="s">
        <v>758</v>
      </c>
    </row>
    <row r="741" spans="3:11" ht="13.5" customHeight="1" x14ac:dyDescent="0.4">
      <c r="C741" s="26">
        <v>3</v>
      </c>
      <c r="D741" s="26" t="s">
        <v>25</v>
      </c>
      <c r="E741" s="26">
        <v>127</v>
      </c>
      <c r="F741" s="26">
        <v>1075</v>
      </c>
      <c r="G741" s="22">
        <f t="shared" si="35"/>
        <v>824891</v>
      </c>
      <c r="H741" s="18" t="str">
        <f t="shared" si="33"/>
        <v/>
      </c>
      <c r="I741" s="22" t="str">
        <f t="shared" si="34"/>
        <v/>
      </c>
      <c r="J741" s="20" t="str">
        <f>IF(I741="", "", COUNT($I$12:$I741))</f>
        <v/>
      </c>
      <c r="K741" s="28" t="s">
        <v>759</v>
      </c>
    </row>
    <row r="742" spans="3:11" ht="13.5" customHeight="1" x14ac:dyDescent="0.4">
      <c r="C742" s="26">
        <v>3</v>
      </c>
      <c r="D742" s="26" t="s">
        <v>25</v>
      </c>
      <c r="E742" s="26">
        <v>128</v>
      </c>
      <c r="F742" s="26">
        <v>1377</v>
      </c>
      <c r="G742" s="22">
        <f t="shared" si="35"/>
        <v>826268</v>
      </c>
      <c r="H742" s="18">
        <f t="shared" si="33"/>
        <v>826252.45161290315</v>
      </c>
      <c r="I742" s="22">
        <f t="shared" si="34"/>
        <v>1361.4516129031545</v>
      </c>
      <c r="J742" s="20">
        <f>IF(I742="", "", COUNT($I$12:$I742))</f>
        <v>87</v>
      </c>
      <c r="K742" s="28" t="s">
        <v>760</v>
      </c>
    </row>
    <row r="743" spans="3:11" ht="13.5" customHeight="1" x14ac:dyDescent="0.4">
      <c r="C743" s="26">
        <v>3</v>
      </c>
      <c r="D743" s="26" t="s">
        <v>25</v>
      </c>
      <c r="E743" s="26">
        <v>129</v>
      </c>
      <c r="F743" s="26">
        <v>732</v>
      </c>
      <c r="G743" s="22">
        <f t="shared" si="35"/>
        <v>827000</v>
      </c>
      <c r="H743" s="18" t="str">
        <f t="shared" si="33"/>
        <v/>
      </c>
      <c r="I743" s="22" t="str">
        <f t="shared" si="34"/>
        <v/>
      </c>
      <c r="J743" s="20" t="str">
        <f>IF(I743="", "", COUNT($I$12:$I743))</f>
        <v/>
      </c>
      <c r="K743" s="28" t="s">
        <v>761</v>
      </c>
    </row>
    <row r="744" spans="3:11" ht="13.5" customHeight="1" x14ac:dyDescent="0.4">
      <c r="C744" s="26">
        <v>3</v>
      </c>
      <c r="D744" s="26" t="s">
        <v>25</v>
      </c>
      <c r="E744" s="26">
        <v>130</v>
      </c>
      <c r="F744" s="26">
        <v>1321</v>
      </c>
      <c r="G744" s="22">
        <f t="shared" si="35"/>
        <v>828321</v>
      </c>
      <c r="H744" s="18" t="str">
        <f t="shared" si="33"/>
        <v/>
      </c>
      <c r="I744" s="22" t="str">
        <f t="shared" si="34"/>
        <v/>
      </c>
      <c r="J744" s="20" t="str">
        <f>IF(I744="", "", COUNT($I$12:$I744))</f>
        <v/>
      </c>
      <c r="K744" s="28" t="s">
        <v>762</v>
      </c>
    </row>
    <row r="745" spans="3:11" ht="13.5" customHeight="1" x14ac:dyDescent="0.4">
      <c r="C745" s="26">
        <v>3</v>
      </c>
      <c r="D745" s="26" t="s">
        <v>25</v>
      </c>
      <c r="E745" s="26">
        <v>131</v>
      </c>
      <c r="F745" s="26">
        <v>1239</v>
      </c>
      <c r="G745" s="22">
        <f t="shared" si="35"/>
        <v>829560</v>
      </c>
      <c r="H745" s="18" t="str">
        <f t="shared" si="33"/>
        <v/>
      </c>
      <c r="I745" s="22" t="str">
        <f t="shared" si="34"/>
        <v/>
      </c>
      <c r="J745" s="20" t="str">
        <f>IF(I745="", "", COUNT($I$12:$I745))</f>
        <v/>
      </c>
      <c r="K745" s="28" t="s">
        <v>763</v>
      </c>
    </row>
    <row r="746" spans="3:11" ht="13.5" customHeight="1" x14ac:dyDescent="0.4">
      <c r="C746" s="26">
        <v>3</v>
      </c>
      <c r="D746" s="26" t="s">
        <v>25</v>
      </c>
      <c r="E746" s="26">
        <v>132</v>
      </c>
      <c r="F746" s="26">
        <v>1272</v>
      </c>
      <c r="G746" s="22">
        <f t="shared" si="35"/>
        <v>830832</v>
      </c>
      <c r="H746" s="18" t="str">
        <f t="shared" si="33"/>
        <v/>
      </c>
      <c r="I746" s="22" t="str">
        <f t="shared" si="34"/>
        <v/>
      </c>
      <c r="J746" s="20" t="str">
        <f>IF(I746="", "", COUNT($I$12:$I746))</f>
        <v/>
      </c>
      <c r="K746" s="28" t="s">
        <v>764</v>
      </c>
    </row>
    <row r="747" spans="3:11" ht="13.5" customHeight="1" x14ac:dyDescent="0.4">
      <c r="C747" s="26">
        <v>3</v>
      </c>
      <c r="D747" s="26" t="s">
        <v>25</v>
      </c>
      <c r="E747" s="26">
        <v>133</v>
      </c>
      <c r="F747" s="26">
        <v>1437</v>
      </c>
      <c r="G747" s="22">
        <f t="shared" si="35"/>
        <v>832269</v>
      </c>
      <c r="H747" s="18" t="str">
        <f t="shared" si="33"/>
        <v/>
      </c>
      <c r="I747" s="22" t="str">
        <f t="shared" si="34"/>
        <v/>
      </c>
      <c r="J747" s="20" t="str">
        <f>IF(I747="", "", COUNT($I$12:$I747))</f>
        <v/>
      </c>
      <c r="K747" s="28" t="s">
        <v>765</v>
      </c>
    </row>
    <row r="748" spans="3:11" ht="13.5" customHeight="1" x14ac:dyDescent="0.4">
      <c r="C748" s="26">
        <v>3</v>
      </c>
      <c r="D748" s="26" t="s">
        <v>25</v>
      </c>
      <c r="E748" s="26">
        <v>134</v>
      </c>
      <c r="F748" s="26">
        <v>1313</v>
      </c>
      <c r="G748" s="22">
        <f t="shared" si="35"/>
        <v>833582</v>
      </c>
      <c r="H748" s="18" t="str">
        <f t="shared" si="33"/>
        <v/>
      </c>
      <c r="I748" s="22" t="str">
        <f t="shared" si="34"/>
        <v/>
      </c>
      <c r="J748" s="20" t="str">
        <f>IF(I748="", "", COUNT($I$12:$I748))</f>
        <v/>
      </c>
      <c r="K748" s="28" t="s">
        <v>766</v>
      </c>
    </row>
    <row r="749" spans="3:11" ht="13.5" customHeight="1" x14ac:dyDescent="0.4">
      <c r="C749" s="26">
        <v>3</v>
      </c>
      <c r="D749" s="26" t="s">
        <v>25</v>
      </c>
      <c r="E749" s="26">
        <v>135</v>
      </c>
      <c r="F749" s="26">
        <v>1051</v>
      </c>
      <c r="G749" s="22">
        <f t="shared" si="35"/>
        <v>834633</v>
      </c>
      <c r="H749" s="18" t="str">
        <f t="shared" si="33"/>
        <v/>
      </c>
      <c r="I749" s="22" t="str">
        <f t="shared" si="34"/>
        <v/>
      </c>
      <c r="J749" s="20" t="str">
        <f>IF(I749="", "", COUNT($I$12:$I749))</f>
        <v/>
      </c>
      <c r="K749" s="28" t="s">
        <v>767</v>
      </c>
    </row>
    <row r="750" spans="3:11" ht="13.5" customHeight="1" x14ac:dyDescent="0.4">
      <c r="C750" s="26">
        <v>3</v>
      </c>
      <c r="D750" s="26" t="s">
        <v>25</v>
      </c>
      <c r="E750" s="26">
        <v>136</v>
      </c>
      <c r="F750" s="26">
        <v>1100</v>
      </c>
      <c r="G750" s="22">
        <f t="shared" si="35"/>
        <v>835733</v>
      </c>
      <c r="H750" s="18" t="str">
        <f t="shared" si="33"/>
        <v/>
      </c>
      <c r="I750" s="22" t="str">
        <f t="shared" si="34"/>
        <v/>
      </c>
      <c r="J750" s="20" t="str">
        <f>IF(I750="", "", COUNT($I$12:$I750))</f>
        <v/>
      </c>
      <c r="K750" s="28" t="s">
        <v>768</v>
      </c>
    </row>
    <row r="751" spans="3:11" ht="13.5" customHeight="1" x14ac:dyDescent="0.4">
      <c r="C751" s="26">
        <v>3</v>
      </c>
      <c r="D751" s="26" t="s">
        <v>25</v>
      </c>
      <c r="E751" s="26">
        <v>137</v>
      </c>
      <c r="F751" s="26">
        <v>1161</v>
      </c>
      <c r="G751" s="22">
        <f t="shared" si="35"/>
        <v>836894</v>
      </c>
      <c r="H751" s="18">
        <f t="shared" si="33"/>
        <v>835749.3763440859</v>
      </c>
      <c r="I751" s="22">
        <f t="shared" si="34"/>
        <v>16.376344085903838</v>
      </c>
      <c r="J751" s="20">
        <f>IF(I751="", "", COUNT($I$12:$I751))</f>
        <v>88</v>
      </c>
      <c r="K751" s="28" t="s">
        <v>769</v>
      </c>
    </row>
    <row r="752" spans="3:11" ht="13.5" customHeight="1" x14ac:dyDescent="0.4">
      <c r="C752" s="26">
        <v>3</v>
      </c>
      <c r="D752" s="26" t="s">
        <v>25</v>
      </c>
      <c r="E752" s="26">
        <v>138</v>
      </c>
      <c r="F752" s="26">
        <v>1169</v>
      </c>
      <c r="G752" s="22">
        <f t="shared" si="35"/>
        <v>838063</v>
      </c>
      <c r="H752" s="18" t="str">
        <f t="shared" si="33"/>
        <v/>
      </c>
      <c r="I752" s="22" t="str">
        <f t="shared" si="34"/>
        <v/>
      </c>
      <c r="J752" s="20" t="str">
        <f>IF(I752="", "", COUNT($I$12:$I752))</f>
        <v/>
      </c>
      <c r="K752" s="28" t="s">
        <v>770</v>
      </c>
    </row>
    <row r="753" spans="3:11" ht="13.5" customHeight="1" x14ac:dyDescent="0.4">
      <c r="C753" s="26">
        <v>3</v>
      </c>
      <c r="D753" s="26" t="s">
        <v>25</v>
      </c>
      <c r="E753" s="26">
        <v>139</v>
      </c>
      <c r="F753" s="26">
        <v>1472</v>
      </c>
      <c r="G753" s="22">
        <f t="shared" si="35"/>
        <v>839535</v>
      </c>
      <c r="H753" s="18" t="str">
        <f t="shared" si="33"/>
        <v/>
      </c>
      <c r="I753" s="22" t="str">
        <f t="shared" si="34"/>
        <v/>
      </c>
      <c r="J753" s="20" t="str">
        <f>IF(I753="", "", COUNT($I$12:$I753))</f>
        <v/>
      </c>
      <c r="K753" s="28" t="s">
        <v>771</v>
      </c>
    </row>
    <row r="754" spans="3:11" ht="13.5" customHeight="1" x14ac:dyDescent="0.4">
      <c r="C754" s="26">
        <v>3</v>
      </c>
      <c r="D754" s="26" t="s">
        <v>25</v>
      </c>
      <c r="E754" s="26">
        <v>140</v>
      </c>
      <c r="F754" s="26">
        <v>1253</v>
      </c>
      <c r="G754" s="22">
        <f t="shared" si="35"/>
        <v>840788</v>
      </c>
      <c r="H754" s="18" t="str">
        <f t="shared" si="33"/>
        <v/>
      </c>
      <c r="I754" s="22" t="str">
        <f t="shared" si="34"/>
        <v/>
      </c>
      <c r="J754" s="20" t="str">
        <f>IF(I754="", "", COUNT($I$12:$I754))</f>
        <v/>
      </c>
      <c r="K754" s="28" t="s">
        <v>772</v>
      </c>
    </row>
    <row r="755" spans="3:11" ht="13.5" customHeight="1" x14ac:dyDescent="0.4">
      <c r="C755" s="26">
        <v>3</v>
      </c>
      <c r="D755" s="26" t="s">
        <v>25</v>
      </c>
      <c r="E755" s="26">
        <v>141</v>
      </c>
      <c r="F755" s="26">
        <v>1345</v>
      </c>
      <c r="G755" s="22">
        <f t="shared" si="35"/>
        <v>842133</v>
      </c>
      <c r="H755" s="18" t="str">
        <f t="shared" si="33"/>
        <v/>
      </c>
      <c r="I755" s="22" t="str">
        <f t="shared" si="34"/>
        <v/>
      </c>
      <c r="J755" s="20" t="str">
        <f>IF(I755="", "", COUNT($I$12:$I755))</f>
        <v/>
      </c>
      <c r="K755" s="28" t="s">
        <v>773</v>
      </c>
    </row>
    <row r="756" spans="3:11" ht="13.5" customHeight="1" x14ac:dyDescent="0.4">
      <c r="C756" s="26">
        <v>3</v>
      </c>
      <c r="D756" s="26" t="s">
        <v>25</v>
      </c>
      <c r="E756" s="26">
        <v>142</v>
      </c>
      <c r="F756" s="26">
        <v>1117</v>
      </c>
      <c r="G756" s="22">
        <f t="shared" si="35"/>
        <v>843250</v>
      </c>
      <c r="H756" s="18" t="str">
        <f t="shared" si="33"/>
        <v/>
      </c>
      <c r="I756" s="22" t="str">
        <f t="shared" si="34"/>
        <v/>
      </c>
      <c r="J756" s="20" t="str">
        <f>IF(I756="", "", COUNT($I$12:$I756))</f>
        <v/>
      </c>
      <c r="K756" s="28" t="s">
        <v>774</v>
      </c>
    </row>
    <row r="757" spans="3:11" ht="13.5" customHeight="1" x14ac:dyDescent="0.4">
      <c r="C757" s="26">
        <v>3</v>
      </c>
      <c r="D757" s="26" t="s">
        <v>25</v>
      </c>
      <c r="E757" s="26">
        <v>143</v>
      </c>
      <c r="F757" s="26">
        <v>1345</v>
      </c>
      <c r="G757" s="22">
        <f t="shared" si="35"/>
        <v>844595</v>
      </c>
      <c r="H757" s="18" t="str">
        <f t="shared" si="33"/>
        <v/>
      </c>
      <c r="I757" s="22" t="str">
        <f t="shared" si="34"/>
        <v/>
      </c>
      <c r="J757" s="20" t="str">
        <f>IF(I757="", "", COUNT($I$12:$I757))</f>
        <v/>
      </c>
      <c r="K757" s="28" t="s">
        <v>775</v>
      </c>
    </row>
    <row r="758" spans="3:11" ht="13.5" customHeight="1" x14ac:dyDescent="0.4">
      <c r="C758" s="26">
        <v>3</v>
      </c>
      <c r="D758" s="26" t="s">
        <v>25</v>
      </c>
      <c r="E758" s="26">
        <v>144</v>
      </c>
      <c r="F758" s="26">
        <v>1073</v>
      </c>
      <c r="G758" s="22">
        <f t="shared" si="35"/>
        <v>845668</v>
      </c>
      <c r="H758" s="18">
        <f t="shared" si="33"/>
        <v>845246.30107526877</v>
      </c>
      <c r="I758" s="22">
        <f t="shared" si="34"/>
        <v>651.30107526876964</v>
      </c>
      <c r="J758" s="20">
        <f>IF(I758="", "", COUNT($I$12:$I758))</f>
        <v>89</v>
      </c>
      <c r="K758" s="28" t="s">
        <v>776</v>
      </c>
    </row>
    <row r="759" spans="3:11" ht="13.5" customHeight="1" x14ac:dyDescent="0.4">
      <c r="C759" s="26">
        <v>3</v>
      </c>
      <c r="D759" s="26" t="s">
        <v>25</v>
      </c>
      <c r="E759" s="26">
        <v>145</v>
      </c>
      <c r="F759" s="26">
        <v>1272</v>
      </c>
      <c r="G759" s="22">
        <f t="shared" si="35"/>
        <v>846940</v>
      </c>
      <c r="H759" s="18" t="str">
        <f t="shared" si="33"/>
        <v/>
      </c>
      <c r="I759" s="22" t="str">
        <f t="shared" si="34"/>
        <v/>
      </c>
      <c r="J759" s="20" t="str">
        <f>IF(I759="", "", COUNT($I$12:$I759))</f>
        <v/>
      </c>
      <c r="K759" s="28" t="s">
        <v>777</v>
      </c>
    </row>
    <row r="760" spans="3:11" ht="13.5" customHeight="1" x14ac:dyDescent="0.4">
      <c r="C760" s="26">
        <v>3</v>
      </c>
      <c r="D760" s="26" t="s">
        <v>25</v>
      </c>
      <c r="E760" s="26">
        <v>146</v>
      </c>
      <c r="F760" s="26">
        <v>922</v>
      </c>
      <c r="G760" s="22">
        <f t="shared" si="35"/>
        <v>847862</v>
      </c>
      <c r="H760" s="18" t="str">
        <f t="shared" si="33"/>
        <v/>
      </c>
      <c r="I760" s="22" t="str">
        <f t="shared" si="34"/>
        <v/>
      </c>
      <c r="J760" s="20" t="str">
        <f>IF(I760="", "", COUNT($I$12:$I760))</f>
        <v/>
      </c>
      <c r="K760" s="28" t="s">
        <v>778</v>
      </c>
    </row>
    <row r="761" spans="3:11" ht="13.5" customHeight="1" x14ac:dyDescent="0.4">
      <c r="C761" s="26">
        <v>3</v>
      </c>
      <c r="D761" s="26" t="s">
        <v>25</v>
      </c>
      <c r="E761" s="26">
        <v>147</v>
      </c>
      <c r="F761" s="26">
        <v>1230</v>
      </c>
      <c r="G761" s="22">
        <f t="shared" si="35"/>
        <v>849092</v>
      </c>
      <c r="H761" s="18" t="str">
        <f t="shared" si="33"/>
        <v/>
      </c>
      <c r="I761" s="22" t="str">
        <f t="shared" si="34"/>
        <v/>
      </c>
      <c r="J761" s="20" t="str">
        <f>IF(I761="", "", COUNT($I$12:$I761))</f>
        <v/>
      </c>
      <c r="K761" s="28" t="s">
        <v>779</v>
      </c>
    </row>
    <row r="762" spans="3:11" ht="13.5" customHeight="1" x14ac:dyDescent="0.4">
      <c r="C762" s="26">
        <v>3</v>
      </c>
      <c r="D762" s="26" t="s">
        <v>25</v>
      </c>
      <c r="E762" s="26">
        <v>148</v>
      </c>
      <c r="F762" s="26">
        <v>1272</v>
      </c>
      <c r="G762" s="22">
        <f t="shared" si="35"/>
        <v>850364</v>
      </c>
      <c r="H762" s="18" t="str">
        <f t="shared" si="33"/>
        <v/>
      </c>
      <c r="I762" s="22" t="str">
        <f t="shared" si="34"/>
        <v/>
      </c>
      <c r="J762" s="20" t="str">
        <f>IF(I762="", "", COUNT($I$12:$I762))</f>
        <v/>
      </c>
      <c r="K762" s="28" t="s">
        <v>780</v>
      </c>
    </row>
    <row r="763" spans="3:11" ht="13.5" customHeight="1" x14ac:dyDescent="0.4">
      <c r="C763" s="26">
        <v>3</v>
      </c>
      <c r="D763" s="26" t="s">
        <v>25</v>
      </c>
      <c r="E763" s="26">
        <v>149</v>
      </c>
      <c r="F763" s="26">
        <v>1028</v>
      </c>
      <c r="G763" s="22">
        <f t="shared" si="35"/>
        <v>851392</v>
      </c>
      <c r="H763" s="18" t="str">
        <f t="shared" si="33"/>
        <v/>
      </c>
      <c r="I763" s="22" t="str">
        <f t="shared" si="34"/>
        <v/>
      </c>
      <c r="J763" s="20" t="str">
        <f>IF(I763="", "", COUNT($I$12:$I763))</f>
        <v/>
      </c>
      <c r="K763" s="28" t="s">
        <v>781</v>
      </c>
    </row>
    <row r="764" spans="3:11" ht="13.5" customHeight="1" x14ac:dyDescent="0.4">
      <c r="C764" s="26">
        <v>3</v>
      </c>
      <c r="D764" s="26" t="s">
        <v>25</v>
      </c>
      <c r="E764" s="26">
        <v>150</v>
      </c>
      <c r="F764" s="26">
        <v>999</v>
      </c>
      <c r="G764" s="22">
        <f t="shared" si="35"/>
        <v>852391</v>
      </c>
      <c r="H764" s="18" t="str">
        <f t="shared" si="33"/>
        <v/>
      </c>
      <c r="I764" s="22" t="str">
        <f t="shared" si="34"/>
        <v/>
      </c>
      <c r="J764" s="20" t="str">
        <f>IF(I764="", "", COUNT($I$12:$I764))</f>
        <v/>
      </c>
      <c r="K764" s="28" t="s">
        <v>782</v>
      </c>
    </row>
    <row r="765" spans="3:11" ht="13.5" customHeight="1" x14ac:dyDescent="0.4">
      <c r="C765" s="26">
        <v>3</v>
      </c>
      <c r="D765" s="26" t="s">
        <v>25</v>
      </c>
      <c r="E765" s="26">
        <v>151</v>
      </c>
      <c r="F765" s="26">
        <v>1284</v>
      </c>
      <c r="G765" s="22">
        <f t="shared" si="35"/>
        <v>853675</v>
      </c>
      <c r="H765" s="18" t="str">
        <f t="shared" si="33"/>
        <v/>
      </c>
      <c r="I765" s="22" t="str">
        <f t="shared" si="34"/>
        <v/>
      </c>
      <c r="J765" s="20" t="str">
        <f>IF(I765="", "", COUNT($I$12:$I765))</f>
        <v/>
      </c>
      <c r="K765" s="28" t="s">
        <v>783</v>
      </c>
    </row>
    <row r="766" spans="3:11" ht="13.5" customHeight="1" x14ac:dyDescent="0.4">
      <c r="C766" s="26">
        <v>3</v>
      </c>
      <c r="D766" s="26" t="s">
        <v>25</v>
      </c>
      <c r="E766" s="26">
        <v>152</v>
      </c>
      <c r="F766" s="26">
        <v>1229</v>
      </c>
      <c r="G766" s="22">
        <f t="shared" si="35"/>
        <v>854904</v>
      </c>
      <c r="H766" s="18">
        <f t="shared" si="33"/>
        <v>854743.22580645152</v>
      </c>
      <c r="I766" s="22">
        <f t="shared" si="34"/>
        <v>1068.225806451519</v>
      </c>
      <c r="J766" s="20">
        <f>IF(I766="", "", COUNT($I$12:$I766))</f>
        <v>90</v>
      </c>
      <c r="K766" s="28" t="s">
        <v>784</v>
      </c>
    </row>
    <row r="767" spans="3:11" ht="13.5" customHeight="1" x14ac:dyDescent="0.4">
      <c r="C767" s="26">
        <v>3</v>
      </c>
      <c r="D767" s="26" t="s">
        <v>25</v>
      </c>
      <c r="E767" s="26">
        <v>153</v>
      </c>
      <c r="F767" s="26">
        <v>1261</v>
      </c>
      <c r="G767" s="22">
        <f t="shared" si="35"/>
        <v>856165</v>
      </c>
      <c r="H767" s="18" t="str">
        <f t="shared" si="33"/>
        <v/>
      </c>
      <c r="I767" s="22" t="str">
        <f t="shared" si="34"/>
        <v/>
      </c>
      <c r="J767" s="20" t="str">
        <f>IF(I767="", "", COUNT($I$12:$I767))</f>
        <v/>
      </c>
      <c r="K767" s="28" t="s">
        <v>785</v>
      </c>
    </row>
    <row r="768" spans="3:11" ht="13.5" customHeight="1" x14ac:dyDescent="0.4">
      <c r="C768" s="26">
        <v>3</v>
      </c>
      <c r="D768" s="26" t="s">
        <v>25</v>
      </c>
      <c r="E768" s="26">
        <v>154</v>
      </c>
      <c r="F768" s="26">
        <v>880</v>
      </c>
      <c r="G768" s="22">
        <f t="shared" si="35"/>
        <v>857045</v>
      </c>
      <c r="H768" s="18" t="str">
        <f t="shared" si="33"/>
        <v/>
      </c>
      <c r="I768" s="22" t="str">
        <f t="shared" si="34"/>
        <v/>
      </c>
      <c r="J768" s="20" t="str">
        <f>IF(I768="", "", COUNT($I$12:$I768))</f>
        <v/>
      </c>
      <c r="K768" s="28" t="s">
        <v>786</v>
      </c>
    </row>
    <row r="769" spans="3:11" ht="13.5" customHeight="1" x14ac:dyDescent="0.4">
      <c r="C769" s="26">
        <v>3</v>
      </c>
      <c r="D769" s="26" t="s">
        <v>25</v>
      </c>
      <c r="E769" s="26">
        <v>155</v>
      </c>
      <c r="F769" s="26">
        <v>1115</v>
      </c>
      <c r="G769" s="22">
        <f t="shared" si="35"/>
        <v>858160</v>
      </c>
      <c r="H769" s="18" t="str">
        <f t="shared" si="33"/>
        <v/>
      </c>
      <c r="I769" s="22" t="str">
        <f t="shared" si="34"/>
        <v/>
      </c>
      <c r="J769" s="20" t="str">
        <f>IF(I769="", "", COUNT($I$12:$I769))</f>
        <v/>
      </c>
      <c r="K769" s="28" t="s">
        <v>787</v>
      </c>
    </row>
    <row r="770" spans="3:11" ht="13.5" customHeight="1" x14ac:dyDescent="0.4">
      <c r="C770" s="26">
        <v>3</v>
      </c>
      <c r="D770" s="26" t="s">
        <v>25</v>
      </c>
      <c r="E770" s="26">
        <v>156</v>
      </c>
      <c r="F770" s="26">
        <v>1262</v>
      </c>
      <c r="G770" s="22">
        <f t="shared" si="35"/>
        <v>859422</v>
      </c>
      <c r="H770" s="18" t="str">
        <f t="shared" si="33"/>
        <v/>
      </c>
      <c r="I770" s="22" t="str">
        <f t="shared" si="34"/>
        <v/>
      </c>
      <c r="J770" s="20" t="str">
        <f>IF(I770="", "", COUNT($I$12:$I770))</f>
        <v/>
      </c>
      <c r="K770" s="28" t="s">
        <v>788</v>
      </c>
    </row>
    <row r="771" spans="3:11" ht="13.5" customHeight="1" x14ac:dyDescent="0.4">
      <c r="C771" s="26">
        <v>3</v>
      </c>
      <c r="D771" s="26" t="s">
        <v>25</v>
      </c>
      <c r="E771" s="26">
        <v>157</v>
      </c>
      <c r="F771" s="26">
        <v>964</v>
      </c>
      <c r="G771" s="22">
        <f t="shared" si="35"/>
        <v>860386</v>
      </c>
      <c r="H771" s="18" t="str">
        <f t="shared" si="33"/>
        <v/>
      </c>
      <c r="I771" s="22" t="str">
        <f t="shared" si="34"/>
        <v/>
      </c>
      <c r="J771" s="20" t="str">
        <f>IF(I771="", "", COUNT($I$12:$I771))</f>
        <v/>
      </c>
      <c r="K771" s="28" t="s">
        <v>789</v>
      </c>
    </row>
    <row r="772" spans="3:11" ht="13.5" customHeight="1" x14ac:dyDescent="0.4">
      <c r="C772" s="26">
        <v>3</v>
      </c>
      <c r="D772" s="26" t="s">
        <v>25</v>
      </c>
      <c r="E772" s="26">
        <v>158</v>
      </c>
      <c r="F772" s="26">
        <v>1223</v>
      </c>
      <c r="G772" s="22">
        <f t="shared" si="35"/>
        <v>861609</v>
      </c>
      <c r="H772" s="18" t="str">
        <f t="shared" si="33"/>
        <v/>
      </c>
      <c r="I772" s="22" t="str">
        <f t="shared" si="34"/>
        <v/>
      </c>
      <c r="J772" s="20" t="str">
        <f>IF(I772="", "", COUNT($I$12:$I772))</f>
        <v/>
      </c>
      <c r="K772" s="28" t="s">
        <v>790</v>
      </c>
    </row>
    <row r="773" spans="3:11" ht="13.5" customHeight="1" x14ac:dyDescent="0.4">
      <c r="C773" s="26">
        <v>3</v>
      </c>
      <c r="D773" s="26" t="s">
        <v>25</v>
      </c>
      <c r="E773" s="26">
        <v>159</v>
      </c>
      <c r="F773" s="26">
        <v>1161</v>
      </c>
      <c r="G773" s="22">
        <f t="shared" si="35"/>
        <v>862770</v>
      </c>
      <c r="H773" s="18" t="str">
        <f t="shared" si="33"/>
        <v/>
      </c>
      <c r="I773" s="22" t="str">
        <f t="shared" si="34"/>
        <v/>
      </c>
      <c r="J773" s="20" t="str">
        <f>IF(I773="", "", COUNT($I$12:$I773))</f>
        <v/>
      </c>
      <c r="K773" s="28" t="s">
        <v>791</v>
      </c>
    </row>
    <row r="774" spans="3:11" ht="13.5" customHeight="1" x14ac:dyDescent="0.4">
      <c r="C774" s="26">
        <v>3</v>
      </c>
      <c r="D774" s="26" t="s">
        <v>25</v>
      </c>
      <c r="E774" s="26">
        <v>160</v>
      </c>
      <c r="F774" s="26">
        <v>1522</v>
      </c>
      <c r="G774" s="22">
        <f t="shared" si="35"/>
        <v>864292</v>
      </c>
      <c r="H774" s="18">
        <f t="shared" si="33"/>
        <v>864240.15053763438</v>
      </c>
      <c r="I774" s="22">
        <f t="shared" si="34"/>
        <v>1470.1505376343848</v>
      </c>
      <c r="J774" s="20">
        <f>IF(I774="", "", COUNT($I$12:$I774))</f>
        <v>91</v>
      </c>
      <c r="K774" s="28" t="s">
        <v>792</v>
      </c>
    </row>
    <row r="775" spans="3:11" ht="13.5" customHeight="1" x14ac:dyDescent="0.4">
      <c r="C775" s="26">
        <v>3</v>
      </c>
      <c r="D775" s="26" t="s">
        <v>25</v>
      </c>
      <c r="E775" s="26">
        <v>161</v>
      </c>
      <c r="F775" s="26">
        <v>881</v>
      </c>
      <c r="G775" s="22">
        <f t="shared" si="35"/>
        <v>865173</v>
      </c>
      <c r="H775" s="18" t="str">
        <f t="shared" si="33"/>
        <v/>
      </c>
      <c r="I775" s="22" t="str">
        <f t="shared" si="34"/>
        <v/>
      </c>
      <c r="J775" s="20" t="str">
        <f>IF(I775="", "", COUNT($I$12:$I775))</f>
        <v/>
      </c>
      <c r="K775" s="28" t="s">
        <v>793</v>
      </c>
    </row>
    <row r="776" spans="3:11" ht="13.5" customHeight="1" x14ac:dyDescent="0.4">
      <c r="C776" s="26">
        <v>3</v>
      </c>
      <c r="D776" s="26" t="s">
        <v>25</v>
      </c>
      <c r="E776" s="26">
        <v>162</v>
      </c>
      <c r="F776" s="26">
        <v>964</v>
      </c>
      <c r="G776" s="22">
        <f t="shared" si="35"/>
        <v>866137</v>
      </c>
      <c r="H776" s="18" t="str">
        <f t="shared" si="33"/>
        <v/>
      </c>
      <c r="I776" s="22" t="str">
        <f t="shared" si="34"/>
        <v/>
      </c>
      <c r="J776" s="20" t="str">
        <f>IF(I776="", "", COUNT($I$12:$I776))</f>
        <v/>
      </c>
      <c r="K776" s="28" t="s">
        <v>794</v>
      </c>
    </row>
    <row r="777" spans="3:11" ht="13.5" customHeight="1" x14ac:dyDescent="0.4">
      <c r="C777" s="26">
        <v>3</v>
      </c>
      <c r="D777" s="26" t="s">
        <v>25</v>
      </c>
      <c r="E777" s="26">
        <v>163</v>
      </c>
      <c r="F777" s="26">
        <v>1071</v>
      </c>
      <c r="G777" s="22">
        <f t="shared" si="35"/>
        <v>867208</v>
      </c>
      <c r="H777" s="18" t="str">
        <f t="shared" si="33"/>
        <v/>
      </c>
      <c r="I777" s="22" t="str">
        <f t="shared" si="34"/>
        <v/>
      </c>
      <c r="J777" s="20" t="str">
        <f>IF(I777="", "", COUNT($I$12:$I777))</f>
        <v/>
      </c>
      <c r="K777" s="28" t="s">
        <v>795</v>
      </c>
    </row>
    <row r="778" spans="3:11" ht="13.5" customHeight="1" x14ac:dyDescent="0.4">
      <c r="C778" s="26">
        <v>3</v>
      </c>
      <c r="D778" s="26" t="s">
        <v>25</v>
      </c>
      <c r="E778" s="26">
        <v>164</v>
      </c>
      <c r="F778" s="26">
        <v>1007</v>
      </c>
      <c r="G778" s="22">
        <f t="shared" si="35"/>
        <v>868215</v>
      </c>
      <c r="H778" s="18" t="str">
        <f t="shared" si="33"/>
        <v/>
      </c>
      <c r="I778" s="22" t="str">
        <f t="shared" si="34"/>
        <v/>
      </c>
      <c r="J778" s="20" t="str">
        <f>IF(I778="", "", COUNT($I$12:$I778))</f>
        <v/>
      </c>
      <c r="K778" s="28" t="s">
        <v>796</v>
      </c>
    </row>
    <row r="779" spans="3:11" ht="13.5" customHeight="1" x14ac:dyDescent="0.4">
      <c r="C779" s="26">
        <v>3</v>
      </c>
      <c r="D779" s="26" t="s">
        <v>25</v>
      </c>
      <c r="E779" s="26">
        <v>165</v>
      </c>
      <c r="F779" s="26">
        <v>1442</v>
      </c>
      <c r="G779" s="22">
        <f t="shared" si="35"/>
        <v>869657</v>
      </c>
      <c r="H779" s="18" t="str">
        <f t="shared" si="33"/>
        <v/>
      </c>
      <c r="I779" s="22" t="str">
        <f t="shared" si="34"/>
        <v/>
      </c>
      <c r="J779" s="20" t="str">
        <f>IF(I779="", "", COUNT($I$12:$I779))</f>
        <v/>
      </c>
      <c r="K779" s="28" t="s">
        <v>797</v>
      </c>
    </row>
    <row r="780" spans="3:11" ht="13.5" customHeight="1" x14ac:dyDescent="0.4">
      <c r="C780" s="26">
        <v>3</v>
      </c>
      <c r="D780" s="26" t="s">
        <v>25</v>
      </c>
      <c r="E780" s="26">
        <v>166</v>
      </c>
      <c r="F780" s="26">
        <v>1051</v>
      </c>
      <c r="G780" s="22">
        <f t="shared" si="35"/>
        <v>870708</v>
      </c>
      <c r="H780" s="18" t="str">
        <f t="shared" ref="H780:H792" si="36">IF(AND(G780 &gt;= ($D$5 + ($C$5 * (INT((G780 - $D$5)/$C$5)))), G779 &lt; ($D$5 + ($C$5 * (INT((G780 - $D$5)/$C$5))))), $D$5 + ($C$5 * INT((G780 - $D$5)/$C$5)), "")</f>
        <v/>
      </c>
      <c r="I780" s="22" t="str">
        <f t="shared" ref="I780:I792" si="37">IFERROR(H780-G779, "")</f>
        <v/>
      </c>
      <c r="J780" s="20" t="str">
        <f>IF(I780="", "", COUNT($I$12:$I780))</f>
        <v/>
      </c>
      <c r="K780" s="28" t="s">
        <v>798</v>
      </c>
    </row>
    <row r="781" spans="3:11" ht="13.5" customHeight="1" x14ac:dyDescent="0.4">
      <c r="C781" s="26">
        <v>3</v>
      </c>
      <c r="D781" s="26" t="s">
        <v>25</v>
      </c>
      <c r="E781" s="26">
        <v>167</v>
      </c>
      <c r="F781" s="26">
        <v>944</v>
      </c>
      <c r="G781" s="22">
        <f t="shared" si="35"/>
        <v>871652</v>
      </c>
      <c r="H781" s="18" t="str">
        <f t="shared" si="36"/>
        <v/>
      </c>
      <c r="I781" s="22" t="str">
        <f t="shared" si="37"/>
        <v/>
      </c>
      <c r="J781" s="20" t="str">
        <f>IF(I781="", "", COUNT($I$12:$I781))</f>
        <v/>
      </c>
      <c r="K781" s="28" t="s">
        <v>799</v>
      </c>
    </row>
    <row r="782" spans="3:11" ht="13.5" customHeight="1" x14ac:dyDescent="0.4">
      <c r="C782" s="26">
        <v>3</v>
      </c>
      <c r="D782" s="26" t="s">
        <v>25</v>
      </c>
      <c r="E782" s="26">
        <v>168</v>
      </c>
      <c r="F782" s="26">
        <v>786</v>
      </c>
      <c r="G782" s="22">
        <f t="shared" ref="G782:G792" si="38">G781+F782</f>
        <v>872438</v>
      </c>
      <c r="H782" s="18" t="str">
        <f t="shared" si="36"/>
        <v/>
      </c>
      <c r="I782" s="22" t="str">
        <f t="shared" si="37"/>
        <v/>
      </c>
      <c r="J782" s="20" t="str">
        <f>IF(I782="", "", COUNT($I$12:$I782))</f>
        <v/>
      </c>
      <c r="K782" s="28" t="s">
        <v>800</v>
      </c>
    </row>
    <row r="783" spans="3:11" ht="13.5" customHeight="1" x14ac:dyDescent="0.4">
      <c r="C783" s="26">
        <v>3</v>
      </c>
      <c r="D783" s="26" t="s">
        <v>25</v>
      </c>
      <c r="E783" s="26">
        <v>169</v>
      </c>
      <c r="F783" s="26">
        <v>1028</v>
      </c>
      <c r="G783" s="22">
        <f t="shared" si="38"/>
        <v>873466</v>
      </c>
      <c r="H783" s="18" t="str">
        <f t="shared" si="36"/>
        <v/>
      </c>
      <c r="I783" s="22" t="str">
        <f t="shared" si="37"/>
        <v/>
      </c>
      <c r="J783" s="20" t="str">
        <f>IF(I783="", "", COUNT($I$12:$I783))</f>
        <v/>
      </c>
      <c r="K783" s="28" t="s">
        <v>801</v>
      </c>
    </row>
    <row r="784" spans="3:11" ht="13.5" customHeight="1" x14ac:dyDescent="0.4">
      <c r="C784" s="26">
        <v>3</v>
      </c>
      <c r="D784" s="26" t="s">
        <v>25</v>
      </c>
      <c r="E784" s="26">
        <v>170</v>
      </c>
      <c r="F784" s="26">
        <v>907</v>
      </c>
      <c r="G784" s="22">
        <f t="shared" si="38"/>
        <v>874373</v>
      </c>
      <c r="H784" s="18">
        <f t="shared" si="36"/>
        <v>873737.07526881713</v>
      </c>
      <c r="I784" s="22">
        <f t="shared" si="37"/>
        <v>271.0752688171342</v>
      </c>
      <c r="J784" s="20">
        <f>IF(I784="", "", COUNT($I$12:$I784))</f>
        <v>92</v>
      </c>
      <c r="K784" s="28" t="s">
        <v>802</v>
      </c>
    </row>
    <row r="785" spans="2:11" ht="13.5" customHeight="1" x14ac:dyDescent="0.4">
      <c r="C785" s="26">
        <v>3</v>
      </c>
      <c r="D785" s="26" t="s">
        <v>25</v>
      </c>
      <c r="E785" s="26">
        <v>171</v>
      </c>
      <c r="F785" s="26">
        <v>1051</v>
      </c>
      <c r="G785" s="22">
        <f t="shared" si="38"/>
        <v>875424</v>
      </c>
      <c r="H785" s="18" t="str">
        <f t="shared" si="36"/>
        <v/>
      </c>
      <c r="I785" s="22" t="str">
        <f t="shared" si="37"/>
        <v/>
      </c>
      <c r="J785" s="20" t="str">
        <f>IF(I785="", "", COUNT($I$12:$I785))</f>
        <v/>
      </c>
      <c r="K785" s="28" t="s">
        <v>803</v>
      </c>
    </row>
    <row r="786" spans="2:11" ht="13.5" customHeight="1" x14ac:dyDescent="0.4">
      <c r="C786" s="26">
        <v>3</v>
      </c>
      <c r="D786" s="26" t="s">
        <v>25</v>
      </c>
      <c r="E786" s="26">
        <v>172</v>
      </c>
      <c r="F786" s="26">
        <v>1148</v>
      </c>
      <c r="G786" s="22">
        <f t="shared" si="38"/>
        <v>876572</v>
      </c>
      <c r="H786" s="18" t="str">
        <f t="shared" si="36"/>
        <v/>
      </c>
      <c r="I786" s="22" t="str">
        <f t="shared" si="37"/>
        <v/>
      </c>
      <c r="J786" s="20" t="str">
        <f>IF(I786="", "", COUNT($I$12:$I786))</f>
        <v/>
      </c>
      <c r="K786" s="28" t="s">
        <v>804</v>
      </c>
    </row>
    <row r="787" spans="2:11" ht="13.5" customHeight="1" x14ac:dyDescent="0.4">
      <c r="C787" s="26">
        <v>3</v>
      </c>
      <c r="D787" s="26" t="s">
        <v>25</v>
      </c>
      <c r="E787" s="26">
        <v>173</v>
      </c>
      <c r="F787" s="26">
        <v>1065</v>
      </c>
      <c r="G787" s="22">
        <f t="shared" si="38"/>
        <v>877637</v>
      </c>
      <c r="H787" s="18" t="str">
        <f t="shared" si="36"/>
        <v/>
      </c>
      <c r="I787" s="22" t="str">
        <f t="shared" si="37"/>
        <v/>
      </c>
      <c r="J787" s="20" t="str">
        <f>IF(I787="", "", COUNT($I$12:$I787))</f>
        <v/>
      </c>
      <c r="K787" s="28" t="s">
        <v>805</v>
      </c>
    </row>
    <row r="788" spans="2:11" ht="13.5" customHeight="1" x14ac:dyDescent="0.4">
      <c r="C788" s="26">
        <v>3</v>
      </c>
      <c r="D788" s="26" t="s">
        <v>25</v>
      </c>
      <c r="E788" s="26">
        <v>174</v>
      </c>
      <c r="F788" s="26">
        <v>1200</v>
      </c>
      <c r="G788" s="22">
        <f t="shared" si="38"/>
        <v>878837</v>
      </c>
      <c r="H788" s="18" t="str">
        <f t="shared" si="36"/>
        <v/>
      </c>
      <c r="I788" s="22" t="str">
        <f t="shared" si="37"/>
        <v/>
      </c>
      <c r="J788" s="20" t="str">
        <f>IF(I788="", "", COUNT($I$12:$I788))</f>
        <v/>
      </c>
      <c r="K788" s="28" t="s">
        <v>806</v>
      </c>
    </row>
    <row r="789" spans="2:11" ht="13.5" customHeight="1" x14ac:dyDescent="0.4">
      <c r="C789" s="26">
        <v>3</v>
      </c>
      <c r="D789" s="26" t="s">
        <v>25</v>
      </c>
      <c r="E789" s="26">
        <v>175</v>
      </c>
      <c r="F789" s="26">
        <v>851</v>
      </c>
      <c r="G789" s="22">
        <f t="shared" si="38"/>
        <v>879688</v>
      </c>
      <c r="H789" s="18" t="str">
        <f t="shared" si="36"/>
        <v/>
      </c>
      <c r="I789" s="22" t="str">
        <f t="shared" si="37"/>
        <v/>
      </c>
      <c r="J789" s="20" t="str">
        <f>IF(I789="", "", COUNT($I$12:$I789))</f>
        <v/>
      </c>
      <c r="K789" s="28" t="s">
        <v>807</v>
      </c>
    </row>
    <row r="790" spans="2:11" ht="13.5" customHeight="1" x14ac:dyDescent="0.4">
      <c r="C790" s="26">
        <v>3</v>
      </c>
      <c r="D790" s="26" t="s">
        <v>25</v>
      </c>
      <c r="E790" s="26">
        <v>176</v>
      </c>
      <c r="F790" s="26">
        <v>1215</v>
      </c>
      <c r="G790" s="22">
        <f t="shared" si="38"/>
        <v>880903</v>
      </c>
      <c r="H790" s="18" t="str">
        <f t="shared" si="36"/>
        <v/>
      </c>
      <c r="I790" s="22" t="str">
        <f t="shared" si="37"/>
        <v/>
      </c>
      <c r="J790" s="20" t="str">
        <f>IF(I790="", "", COUNT($I$12:$I790))</f>
        <v/>
      </c>
      <c r="K790" s="28" t="s">
        <v>808</v>
      </c>
    </row>
    <row r="791" spans="2:11" ht="13.5" customHeight="1" x14ac:dyDescent="0.4">
      <c r="C791" s="26">
        <v>3</v>
      </c>
      <c r="D791" s="26" t="s">
        <v>25</v>
      </c>
      <c r="E791" s="26">
        <v>177</v>
      </c>
      <c r="F791" s="26">
        <v>946</v>
      </c>
      <c r="G791" s="22">
        <f t="shared" si="38"/>
        <v>881849</v>
      </c>
      <c r="H791" s="18" t="str">
        <f t="shared" si="36"/>
        <v/>
      </c>
      <c r="I791" s="22" t="str">
        <f t="shared" si="37"/>
        <v/>
      </c>
      <c r="J791" s="20" t="str">
        <f>IF(I791="", "", COUNT($I$12:$I791))</f>
        <v/>
      </c>
      <c r="K791" s="28" t="s">
        <v>809</v>
      </c>
    </row>
    <row r="792" spans="2:11" ht="13.5" customHeight="1" x14ac:dyDescent="0.4">
      <c r="C792" s="26">
        <v>3</v>
      </c>
      <c r="D792" s="26" t="s">
        <v>25</v>
      </c>
      <c r="E792" s="26">
        <v>178</v>
      </c>
      <c r="F792" s="26">
        <v>1365</v>
      </c>
      <c r="G792" s="22">
        <f t="shared" si="38"/>
        <v>883214</v>
      </c>
      <c r="H792" s="18" t="str">
        <f t="shared" si="36"/>
        <v/>
      </c>
      <c r="I792" s="22" t="str">
        <f t="shared" si="37"/>
        <v/>
      </c>
      <c r="J792" s="20" t="str">
        <f>IF(I792="", "", COUNT($I$12:$I792))</f>
        <v/>
      </c>
      <c r="K792" s="28" t="s">
        <v>810</v>
      </c>
    </row>
    <row r="793" spans="2:11" ht="13.5" customHeight="1" x14ac:dyDescent="0.3">
      <c r="B793" s="27" t="s">
        <v>28</v>
      </c>
      <c r="C793" s="1">
        <f>COUNT(C12:C792)</f>
        <v>781</v>
      </c>
    </row>
    <row r="794" spans="2:11" ht="13.5" customHeight="1" x14ac:dyDescent="0.3">
      <c r="B794" s="27" t="s">
        <v>29</v>
      </c>
      <c r="C794" s="1">
        <f>COUNT(C13:C793)</f>
        <v>781</v>
      </c>
    </row>
  </sheetData>
  <autoFilter ref="C11:K792" xr:uid="{3CEA22AC-2465-437C-B9AF-BEA7A106CABD}">
    <sortState xmlns:xlrd2="http://schemas.microsoft.com/office/spreadsheetml/2017/richdata2" ref="C12:K792">
      <sortCondition ref="C11:C792"/>
    </sortState>
  </autoFilter>
  <mergeCells count="6">
    <mergeCell ref="G5:I5"/>
    <mergeCell ref="C1:I1"/>
    <mergeCell ref="D2:E2"/>
    <mergeCell ref="D3:E3"/>
    <mergeCell ref="E4:F4"/>
    <mergeCell ref="G4:I4"/>
  </mergeCells>
  <hyperlinks>
    <hyperlink ref="K12" r:id="rId1" xr:uid="{74C1CEFF-3613-46A1-8F6B-8DBA2A72FF0C}"/>
    <hyperlink ref="K13" r:id="rId2" xr:uid="{DFDD47AB-A062-4EC8-8A98-335E9FB37C54}"/>
    <hyperlink ref="K14" r:id="rId3" xr:uid="{D3AC083F-0F66-496F-A35D-6EAB1A669557}"/>
    <hyperlink ref="K15" r:id="rId4" xr:uid="{CE9A4589-30CD-4D3A-9F15-F9DB6B0E2E64}"/>
    <hyperlink ref="K16" r:id="rId5" xr:uid="{AF9AE68A-C9F1-4795-B7E8-1C36A4392FB6}"/>
    <hyperlink ref="K17" r:id="rId6" xr:uid="{103375B9-80BF-455C-BE77-4DECF3364CD8}"/>
    <hyperlink ref="K18" r:id="rId7" xr:uid="{E2503055-58DD-4D4A-9589-850A1F71D0BF}"/>
    <hyperlink ref="K19" r:id="rId8" xr:uid="{2F1635D1-7C45-4037-970F-83C1C84D1F30}"/>
    <hyperlink ref="K20" r:id="rId9" xr:uid="{406DB722-95A3-4DF3-BBD9-4EBB384C7E2A}"/>
    <hyperlink ref="K21" r:id="rId10" xr:uid="{E653FA92-39A5-4E4B-ABD7-E78B54037E61}"/>
    <hyperlink ref="K22" r:id="rId11" xr:uid="{10ED7891-9707-45F2-8704-3280B76A3A79}"/>
    <hyperlink ref="K23" r:id="rId12" xr:uid="{5D88AAD1-E88F-4293-9332-7FEB493420FF}"/>
    <hyperlink ref="K24" r:id="rId13" xr:uid="{AD67C578-DE9A-4FBD-85E6-78988B63A839}"/>
    <hyperlink ref="K25" r:id="rId14" xr:uid="{594E8FBA-E643-46D6-BDCB-B324803CA33F}"/>
    <hyperlink ref="K26" r:id="rId15" xr:uid="{2B097B47-57F4-4D61-9AB4-1A8A664B90D4}"/>
    <hyperlink ref="K27" r:id="rId16" xr:uid="{859C677D-6804-430E-A84E-D376E6AE311D}"/>
    <hyperlink ref="K28" r:id="rId17" xr:uid="{CCD0579E-A3A5-47E6-95B4-87194F533BAF}"/>
    <hyperlink ref="K29" r:id="rId18" xr:uid="{578E7150-EB26-4AF4-8AD7-28832885B09B}"/>
    <hyperlink ref="K30" r:id="rId19" xr:uid="{9F959C41-00E4-4ADB-A591-051F626B3034}"/>
    <hyperlink ref="K31" r:id="rId20" xr:uid="{D0AFA946-2D0E-4BC4-A272-CCC2018D7DCC}"/>
    <hyperlink ref="K32" r:id="rId21" xr:uid="{31033503-0A62-4E2F-A668-1E8865EB435E}"/>
    <hyperlink ref="K33" r:id="rId22" xr:uid="{2039195E-762F-4723-AA65-97DC42BAEECD}"/>
    <hyperlink ref="K34" r:id="rId23" xr:uid="{27B9186E-BDB0-4435-B8F1-9BE75E2CEBC2}"/>
    <hyperlink ref="K35" r:id="rId24" xr:uid="{6ECB96DE-E3A6-4DB8-ABEE-1F89EB5DD49E}"/>
    <hyperlink ref="K36" r:id="rId25" xr:uid="{3A80D02A-DCC8-4323-A7D5-4B56AF1416DF}"/>
    <hyperlink ref="K37" r:id="rId26" xr:uid="{3FBC5515-F77A-4E4A-A2E7-77DDED2DD21D}"/>
    <hyperlink ref="K38" r:id="rId27" xr:uid="{B526401A-8865-48B5-B83E-68CDCEE764A0}"/>
    <hyperlink ref="K39" r:id="rId28" xr:uid="{6E7362F4-F3A4-46AC-B422-339442563CA0}"/>
    <hyperlink ref="K40" r:id="rId29" xr:uid="{761979B8-FB8A-4CC7-B8FE-9453D5D7419E}"/>
    <hyperlink ref="K41" r:id="rId30" xr:uid="{FCB03795-6035-4A40-8835-488626FF6D8B}"/>
    <hyperlink ref="K42" r:id="rId31" xr:uid="{4D08F388-B18A-4F18-8BAA-9D23DBE8642C}"/>
    <hyperlink ref="K43" r:id="rId32" xr:uid="{BFA5F094-AD02-4E25-8569-34DF8E42F07A}"/>
    <hyperlink ref="K44" r:id="rId33" xr:uid="{E78F6FC5-D675-4F34-A9DA-2D3237D2A069}"/>
    <hyperlink ref="K45" r:id="rId34" xr:uid="{DA710D42-B312-4E4C-BAD1-FD833FA2D4F4}"/>
    <hyperlink ref="K46" r:id="rId35" xr:uid="{896D6B56-9D0D-4B0E-ADA3-764049435662}"/>
    <hyperlink ref="K47" r:id="rId36" xr:uid="{1DB947BB-25F6-4500-B86E-04C5C3615C18}"/>
    <hyperlink ref="K48" r:id="rId37" xr:uid="{EA6E1A98-34F0-4082-BE62-12C1F7ACB00C}"/>
    <hyperlink ref="K49" r:id="rId38" xr:uid="{8A74F5F8-C0DB-492B-AE06-34126340A3C1}"/>
    <hyperlink ref="K50" r:id="rId39" xr:uid="{5A55B202-FAE5-4F41-B5AE-AD9435497D76}"/>
    <hyperlink ref="K51" r:id="rId40" xr:uid="{49953928-2A35-4398-8329-63EEC54A3EEE}"/>
    <hyperlink ref="K52" r:id="rId41" xr:uid="{7E2C1444-583C-4794-AD87-31DEF163D60F}"/>
    <hyperlink ref="K53" r:id="rId42" xr:uid="{7FB5EA17-8234-402D-9942-CB78A8A501DE}"/>
    <hyperlink ref="K54" r:id="rId43" xr:uid="{FF6D3F19-0165-49CE-B23D-301FE4D59D79}"/>
    <hyperlink ref="K55" r:id="rId44" xr:uid="{02F0557E-AE96-4570-9D13-FCD00A19BB81}"/>
    <hyperlink ref="K56" r:id="rId45" xr:uid="{321F97AF-6359-4218-8974-97112688AC97}"/>
    <hyperlink ref="K57" r:id="rId46" xr:uid="{142250E0-78BF-4DB9-961F-7352DA528A24}"/>
    <hyperlink ref="K58" r:id="rId47" xr:uid="{EEF1F96F-26DA-4D06-87BE-02574F5E5CCD}"/>
    <hyperlink ref="K59" r:id="rId48" xr:uid="{332F3AA6-3EA5-433D-B99C-1B5FCE021797}"/>
    <hyperlink ref="K60" r:id="rId49" xr:uid="{6D82F55A-0DB2-4602-85C2-430E85B8BC35}"/>
    <hyperlink ref="K61" r:id="rId50" xr:uid="{C8595268-CD55-408A-A0EC-9619E96B2190}"/>
    <hyperlink ref="K62" r:id="rId51" xr:uid="{12B4FFC5-5AB7-4B91-A46B-DAB5A5C1C9DD}"/>
    <hyperlink ref="K63" r:id="rId52" xr:uid="{53CE4F1C-F450-4CB4-9559-6AA62F99F972}"/>
    <hyperlink ref="K64" r:id="rId53" xr:uid="{15204E3E-9BBF-4CF8-A43D-A0D3693A90AB}"/>
    <hyperlink ref="K65" r:id="rId54" xr:uid="{37DF3737-C772-4D00-8848-27723F5AD5AE}"/>
    <hyperlink ref="K66" r:id="rId55" xr:uid="{48BA0B78-CF52-4492-B6A0-8C12051B0330}"/>
    <hyperlink ref="K67" r:id="rId56" xr:uid="{4021DD15-E6B3-4BCE-A0E5-AFCA962846E9}"/>
    <hyperlink ref="K68" r:id="rId57" xr:uid="{5A05C056-EAF7-41BD-8BD9-406815713A3C}"/>
    <hyperlink ref="K69" r:id="rId58" xr:uid="{D160B061-2771-4DAF-9121-85B7CF6C475F}"/>
    <hyperlink ref="K70" r:id="rId59" xr:uid="{A0018DC2-C8C6-46DC-A8F5-0C84F4F0F0FC}"/>
    <hyperlink ref="K71" r:id="rId60" xr:uid="{5B0BFD2A-19DC-4954-8792-D52FC01E067F}"/>
    <hyperlink ref="K72" r:id="rId61" xr:uid="{B94BFA69-8017-4B3A-B9AD-A25DC598B87D}"/>
    <hyperlink ref="K73" r:id="rId62" xr:uid="{607DF22B-649D-4416-B03A-E6E1C7A75E4D}"/>
    <hyperlink ref="K74" r:id="rId63" xr:uid="{FF25D9D1-81D4-4B0E-9234-7596C3DE68BC}"/>
    <hyperlink ref="K75" r:id="rId64" xr:uid="{BCE2EFBB-BFBA-4401-B4F2-04C68299234F}"/>
    <hyperlink ref="K76" r:id="rId65" xr:uid="{0D80598A-A1A8-4F69-B1B5-2B539CBDB661}"/>
    <hyperlink ref="K77" r:id="rId66" xr:uid="{BF4F32AA-8989-4958-9998-2B64A6D24BE4}"/>
    <hyperlink ref="K78" r:id="rId67" xr:uid="{57B5BC0E-6764-43D9-9ACF-9F047FD0A678}"/>
    <hyperlink ref="K79" r:id="rId68" xr:uid="{5F0B6E75-49D8-4166-9BD1-355D30B960BE}"/>
    <hyperlink ref="K80" r:id="rId69" xr:uid="{FA9D6B77-9587-4028-AB2D-685264CAE5D7}"/>
    <hyperlink ref="K81" r:id="rId70" xr:uid="{0FB5CB12-A35E-49DD-8382-5E3ED74FF677}"/>
    <hyperlink ref="K82" r:id="rId71" xr:uid="{1B3B0DC2-DCF7-40A6-A1A4-7402C9D5C0AF}"/>
    <hyperlink ref="K83" r:id="rId72" xr:uid="{80507CDE-BDFE-4290-9895-B84226CC3456}"/>
    <hyperlink ref="K84" r:id="rId73" xr:uid="{80E33D62-74DF-42CB-822E-9633B1C8876F}"/>
    <hyperlink ref="K85" r:id="rId74" xr:uid="{BA9BEDD4-CFCB-4F16-9D69-48D3BE77EB56}"/>
    <hyperlink ref="K86" r:id="rId75" xr:uid="{5C1AD367-B727-471A-99B7-0B915955F779}"/>
    <hyperlink ref="K87" r:id="rId76" xr:uid="{D820E601-C5CD-485B-849C-A6140099613B}"/>
    <hyperlink ref="K88" r:id="rId77" xr:uid="{A925F7A0-1A96-4DA3-91C3-2D2AD48EE297}"/>
    <hyperlink ref="K89" r:id="rId78" xr:uid="{EAA9507F-E482-466A-AAA2-0EDF394EC50C}"/>
    <hyperlink ref="K90" r:id="rId79" xr:uid="{79C42982-3130-4E1A-B760-96CFEDD50937}"/>
    <hyperlink ref="K91" r:id="rId80" xr:uid="{2AFAEEE2-3BAC-41B1-93D1-01F32AB5F7DF}"/>
    <hyperlink ref="K92" r:id="rId81" xr:uid="{D47D056D-26D8-4A04-B74F-EEE91CE9A97B}"/>
    <hyperlink ref="K93" r:id="rId82" xr:uid="{AA16994C-1DA0-4A8E-B7EE-F274D184DF35}"/>
    <hyperlink ref="K94" r:id="rId83" xr:uid="{8C2D5225-29FA-4704-98BE-0BECFEB855F0}"/>
    <hyperlink ref="K95" r:id="rId84" xr:uid="{2847C586-A051-47DC-AC7C-AFE1E702944D}"/>
    <hyperlink ref="K96" r:id="rId85" xr:uid="{79952037-3915-48D4-A5FB-1DC90B6C2973}"/>
    <hyperlink ref="K97" r:id="rId86" xr:uid="{DC02E719-BA91-44D8-B58F-278324C27F7E}"/>
    <hyperlink ref="K98" r:id="rId87" xr:uid="{BAFFF2BF-5230-4AF4-B8D6-3A150F240566}"/>
    <hyperlink ref="K99" r:id="rId88" xr:uid="{B44D6817-C779-4E27-B989-36067BDD4105}"/>
    <hyperlink ref="K100" r:id="rId89" xr:uid="{C9D431FC-BDD0-4711-9C2E-BBE3A89A0037}"/>
    <hyperlink ref="K101" r:id="rId90" xr:uid="{6D7C1650-DCAE-49FE-8DD6-B0559999A93A}"/>
    <hyperlink ref="K102" r:id="rId91" xr:uid="{AEFB47DF-061B-48A0-91B3-AC9C4F9DCC87}"/>
    <hyperlink ref="K103" r:id="rId92" xr:uid="{5BCCDA59-5BD2-4EF6-A572-FD18BC6C0C2B}"/>
    <hyperlink ref="K104" r:id="rId93" xr:uid="{FD95C198-93C5-49D0-AC3B-9393FF3AEF2A}"/>
    <hyperlink ref="K105" r:id="rId94" xr:uid="{A4FC22AF-A040-4EC0-802E-3CC26141DE5D}"/>
    <hyperlink ref="K106" r:id="rId95" xr:uid="{D16CDE65-752D-4CD1-8FAF-A494A3D378AC}"/>
    <hyperlink ref="K107" r:id="rId96" xr:uid="{3E5DF077-7724-421D-88BC-8E952371A7B9}"/>
    <hyperlink ref="K108" r:id="rId97" xr:uid="{7A77C657-8E90-41A3-AA3B-9CA4FE4E02DD}"/>
    <hyperlink ref="K109" r:id="rId98" xr:uid="{C7DBE480-F216-48BB-AD52-088DBE83FDFF}"/>
    <hyperlink ref="K110" r:id="rId99" xr:uid="{F03409EC-AA8B-4471-900F-28E135605667}"/>
    <hyperlink ref="K111" r:id="rId100" xr:uid="{609FC931-7E10-4166-A568-B992AB85F87A}"/>
    <hyperlink ref="K112" r:id="rId101" xr:uid="{E50B8943-D221-483D-B3BD-8A474366AA3A}"/>
    <hyperlink ref="K113" r:id="rId102" xr:uid="{1F78009D-49B2-45CE-94D8-1ABEA61FA182}"/>
    <hyperlink ref="K114" r:id="rId103" xr:uid="{DD3C2BAF-3516-43AB-9575-5A3AD13584A5}"/>
    <hyperlink ref="K115" r:id="rId104" xr:uid="{1670FD88-ACF0-49BD-A250-E12577374F7E}"/>
    <hyperlink ref="K116" r:id="rId105" xr:uid="{059B55EF-861F-4D2C-97B2-ACB736769220}"/>
    <hyperlink ref="K117" r:id="rId106" xr:uid="{6597698F-4A9A-4320-A3CE-A1A51212612A}"/>
    <hyperlink ref="K118" r:id="rId107" xr:uid="{3BC292C2-13A2-41E7-A05A-8C4037F5014F}"/>
    <hyperlink ref="K119" r:id="rId108" xr:uid="{5FB2D02B-F0C4-4828-817F-08E63B805464}"/>
    <hyperlink ref="K120" r:id="rId109" xr:uid="{CBE0E0D8-26BA-4E21-AB0D-89FBF4555A99}"/>
    <hyperlink ref="K121" r:id="rId110" xr:uid="{41674020-BD69-4391-B012-D68337CE581C}"/>
    <hyperlink ref="K122" r:id="rId111" xr:uid="{4C7018BA-C63D-4588-9F17-D9D9B9E31978}"/>
    <hyperlink ref="K123" r:id="rId112" xr:uid="{2D58769C-078E-4527-8C17-64F08B35271E}"/>
    <hyperlink ref="K124" r:id="rId113" xr:uid="{766B441A-9FBB-439F-81BC-8E91C3BC1BF4}"/>
    <hyperlink ref="K125" r:id="rId114" xr:uid="{338770B2-BF04-4D21-BF7A-BC2D58F3ED92}"/>
    <hyperlink ref="K126" r:id="rId115" xr:uid="{69B72293-4C19-4FF8-8963-E8CD741D5D77}"/>
    <hyperlink ref="K127" r:id="rId116" xr:uid="{EC68C94E-0E1D-4E3D-B69D-B50F706BB263}"/>
    <hyperlink ref="K128" r:id="rId117" xr:uid="{2519CA09-F236-466F-8450-9698A2FF51F9}"/>
    <hyperlink ref="K129" r:id="rId118" xr:uid="{BD75FA58-E178-44C9-AA41-2D19D3220C24}"/>
    <hyperlink ref="K130" r:id="rId119" xr:uid="{EB98FA9B-644D-4754-8392-309ED22762F3}"/>
    <hyperlink ref="K131" r:id="rId120" xr:uid="{5C20C88A-976B-4585-8905-92D9B0E71DCE}"/>
    <hyperlink ref="K132" r:id="rId121" xr:uid="{4AD56006-3218-4233-A40F-8E08AD3A80DF}"/>
    <hyperlink ref="K133" r:id="rId122" xr:uid="{2EE08869-09B8-402C-BBA4-B153F60DC7BD}"/>
    <hyperlink ref="K134" r:id="rId123" xr:uid="{75B4A1E5-639D-4851-98D7-364408DF6C31}"/>
    <hyperlink ref="K135" r:id="rId124" xr:uid="{615599E4-553E-4820-8EF1-EC57311D2213}"/>
    <hyperlink ref="K136" r:id="rId125" xr:uid="{48219892-17BA-4145-8102-558D5B304A45}"/>
    <hyperlink ref="K137" r:id="rId126" xr:uid="{BC40C6F6-6EE4-430D-B4EC-6F7447B40422}"/>
    <hyperlink ref="K138" r:id="rId127" xr:uid="{FC3C74FF-89D0-461D-AB71-9BE9A776BC22}"/>
    <hyperlink ref="K139" r:id="rId128" xr:uid="{ABA27CC7-E4B6-4845-B1B0-C6D3845594EE}"/>
    <hyperlink ref="K140" r:id="rId129" xr:uid="{25B745F4-6F6E-48E5-80E2-EB7929D65CD5}"/>
    <hyperlink ref="K141" r:id="rId130" xr:uid="{A2A2F1D8-7A54-46EF-A614-C2AD9A8D05DC}"/>
    <hyperlink ref="K142" r:id="rId131" xr:uid="{70E16A8F-E569-4165-BAC8-64D30F4C5B9C}"/>
    <hyperlink ref="K143" r:id="rId132" xr:uid="{74B76A2B-FC5A-4B29-BBE3-76E61D1E0B8A}"/>
    <hyperlink ref="K144" r:id="rId133" xr:uid="{DBCE7500-C24D-4B90-B614-538FAA8CAB20}"/>
    <hyperlink ref="K145" r:id="rId134" xr:uid="{AA68C792-C726-4304-B2A3-DD0E18107ABF}"/>
    <hyperlink ref="K146" r:id="rId135" xr:uid="{DBA16ADF-791F-4DFA-9351-143132D69810}"/>
    <hyperlink ref="K147" r:id="rId136" xr:uid="{A82F7464-4A9B-44D4-BC23-A500D41FDF27}"/>
    <hyperlink ref="K148" r:id="rId137" xr:uid="{788E7E47-F5C9-47C5-8081-A26855CFE818}"/>
    <hyperlink ref="K149" r:id="rId138" xr:uid="{E29864D9-BD55-4BB4-B380-DCF09A280278}"/>
    <hyperlink ref="K150" r:id="rId139" xr:uid="{AA26B194-3B92-467C-8320-A7BCA8B228CF}"/>
    <hyperlink ref="K151" r:id="rId140" xr:uid="{F5EDA5DF-BB61-4868-AD03-01281A9CE6EA}"/>
    <hyperlink ref="K152" r:id="rId141" xr:uid="{271995BC-0B5F-4529-BF2E-7101F7A9BFB7}"/>
    <hyperlink ref="K153" r:id="rId142" xr:uid="{B06AA3D8-7BEC-4F6F-9239-95C93D8D1998}"/>
    <hyperlink ref="K154" r:id="rId143" xr:uid="{A098AA93-6017-4C76-AEFE-65DEAC29CF6C}"/>
    <hyperlink ref="K155" r:id="rId144" xr:uid="{D62D7795-6611-4417-A93E-CA5FCE412546}"/>
    <hyperlink ref="K156" r:id="rId145" xr:uid="{4843F21E-AC68-4FA5-B818-B0C9125F8C15}"/>
    <hyperlink ref="K157" r:id="rId146" xr:uid="{FDAEA552-0B24-4956-81B0-0F430DC72BDD}"/>
    <hyperlink ref="K158" r:id="rId147" xr:uid="{DD4B01ED-50B3-4D99-8631-44CA4A5B8C9A}"/>
    <hyperlink ref="K159" r:id="rId148" xr:uid="{FA839CD6-A25D-4619-9B8C-FF47F4D72DFD}"/>
    <hyperlink ref="K160" r:id="rId149" xr:uid="{DEDE7069-91B9-49B1-8E92-A575914C9367}"/>
    <hyperlink ref="K161" r:id="rId150" xr:uid="{8DB49026-9F1B-474D-B701-68BECE398055}"/>
    <hyperlink ref="K162" r:id="rId151" xr:uid="{7939DF02-8D88-4004-91AE-B2F0DD01D04C}"/>
    <hyperlink ref="K163" r:id="rId152" xr:uid="{CD6B28B7-90AB-42A9-B601-FC99305D63FA}"/>
    <hyperlink ref="K164" r:id="rId153" xr:uid="{A277769E-F5DD-4466-947A-B328166F18C6}"/>
    <hyperlink ref="K165" r:id="rId154" xr:uid="{443983F0-A309-48A2-94C1-FA2C9F9EDC94}"/>
    <hyperlink ref="K166" r:id="rId155" xr:uid="{56057670-E85A-4D3D-8374-A0B7EACB9697}"/>
    <hyperlink ref="K167" r:id="rId156" xr:uid="{1EE80542-C100-47CE-8021-8C3E7BF50E0E}"/>
    <hyperlink ref="K168" r:id="rId157" xr:uid="{86DF89A5-50C9-49ED-BCA7-666945AD20BA}"/>
    <hyperlink ref="K169" r:id="rId158" xr:uid="{AE9CD0CD-989C-4566-AEB3-D7B85F9513C3}"/>
    <hyperlink ref="K170" r:id="rId159" xr:uid="{7FD52CF4-1CB3-401D-8E25-98525D04747E}"/>
    <hyperlink ref="K171" r:id="rId160" xr:uid="{E5747447-A600-4807-A664-CD0AFFB18675}"/>
    <hyperlink ref="K172" r:id="rId161" xr:uid="{B5AD27DF-67A0-451C-9808-A95330773A8B}"/>
    <hyperlink ref="K173" r:id="rId162" xr:uid="{54FDD6B1-9C08-4BEC-8871-1AE48AAB1750}"/>
    <hyperlink ref="K174" r:id="rId163" xr:uid="{456730AB-BCD6-40A7-96B7-CBBED6724BF3}"/>
    <hyperlink ref="K175" r:id="rId164" xr:uid="{BEE4682D-D55A-4618-ADEB-40ABDFA28043}"/>
    <hyperlink ref="K176" r:id="rId165" xr:uid="{18269B06-2D27-4D1A-B2C1-AA2AE36C86C7}"/>
    <hyperlink ref="K177" r:id="rId166" xr:uid="{BBE62274-52CD-4E14-906D-EF8704DBF450}"/>
    <hyperlink ref="K178" r:id="rId167" xr:uid="{A0E2870E-FE29-401C-8F78-07DA59B1F318}"/>
    <hyperlink ref="K179" r:id="rId168" xr:uid="{4751E9E7-EEDE-4A18-A21B-74B21C05DFFB}"/>
    <hyperlink ref="K180" r:id="rId169" xr:uid="{81109BD6-EF56-4325-BD1B-9BC1F11D3C57}"/>
    <hyperlink ref="K181" r:id="rId170" xr:uid="{61C09E60-F41D-4742-99CC-097C5D73F161}"/>
    <hyperlink ref="K182" r:id="rId171" xr:uid="{B2C0D0DC-F5D5-4B24-BD04-D4AD5988DD92}"/>
    <hyperlink ref="K183" r:id="rId172" xr:uid="{F8E83942-527E-4C4E-B5C9-44DFB695D19F}"/>
    <hyperlink ref="K184" r:id="rId173" xr:uid="{65EA6497-73F4-4EB7-AEFB-00A828B1BE4A}"/>
    <hyperlink ref="K185" r:id="rId174" xr:uid="{6FB19D27-6272-4891-BFA6-FAE87F574111}"/>
    <hyperlink ref="K186" r:id="rId175" xr:uid="{B4C0DC8A-947E-4DE4-B5E1-4F94BCBB8B2F}"/>
    <hyperlink ref="K187" r:id="rId176" xr:uid="{B4C72F6D-870A-4A87-9FD5-3A0ED1130CE3}"/>
    <hyperlink ref="K188" r:id="rId177" xr:uid="{AE5FEB95-E2AB-4312-94B3-FC965C3B46C0}"/>
    <hyperlink ref="K189" r:id="rId178" xr:uid="{54CB61A7-625A-4E68-8271-B17F122B7121}"/>
    <hyperlink ref="K190" r:id="rId179" xr:uid="{908BAFA9-ABE0-4183-BAF7-D89175373FDB}"/>
    <hyperlink ref="K191" r:id="rId180" xr:uid="{4839CCA5-993D-4D99-8CFD-3493261E339C}"/>
    <hyperlink ref="K192" r:id="rId181" xr:uid="{9D83BEF8-13C8-47B9-9B19-C4BD78366983}"/>
    <hyperlink ref="K193" r:id="rId182" xr:uid="{ADADB44D-65B6-4943-8EDC-737B0D9B05AE}"/>
    <hyperlink ref="K194" r:id="rId183" xr:uid="{02EE6E85-CC24-4AB2-9E9E-0EAB7076E6A6}"/>
    <hyperlink ref="K195" r:id="rId184" xr:uid="{D99065F0-9545-4CD1-89A0-414D1BA5A78D}"/>
    <hyperlink ref="K196" r:id="rId185" xr:uid="{9BC0FEDC-85FB-4796-A026-9C62A26CF203}"/>
    <hyperlink ref="K197" r:id="rId186" xr:uid="{0F472C2D-C9D6-46F5-ADD1-31CA0FE6824E}"/>
    <hyperlink ref="K198" r:id="rId187" xr:uid="{35F14BD2-B67F-4743-AEB0-2D73A05847D3}"/>
    <hyperlink ref="K199" r:id="rId188" xr:uid="{75DF418A-D596-4D42-88F0-71117C1CE5BE}"/>
    <hyperlink ref="K200" r:id="rId189" xr:uid="{83ABB484-D850-45A9-A7A4-03A722A85F6B}"/>
    <hyperlink ref="K201" r:id="rId190" xr:uid="{2068231D-D166-4A01-9B0A-82F8DFA9FB14}"/>
    <hyperlink ref="K202" r:id="rId191" xr:uid="{91A4D4C0-76AB-445D-B67B-551D6A1C142C}"/>
    <hyperlink ref="K203" r:id="rId192" xr:uid="{B7DAFB29-36CC-465F-BBB8-F2D44CD1D416}"/>
    <hyperlink ref="K204" r:id="rId193" xr:uid="{DD5A6FFC-BB1C-40F5-9D52-73BD367C477F}"/>
    <hyperlink ref="K205" r:id="rId194" xr:uid="{88225158-B9F4-4C13-A77B-C812C90303EF}"/>
    <hyperlink ref="K206" r:id="rId195" xr:uid="{D37EB2C0-D280-4F67-80ED-12E68390CB14}"/>
    <hyperlink ref="K207" r:id="rId196" xr:uid="{B3A56C71-BD2A-4D93-AC7D-EB3C98643B40}"/>
    <hyperlink ref="K208" r:id="rId197" xr:uid="{C9716EBC-A575-4FF1-89F4-4DBDAA1FFE75}"/>
    <hyperlink ref="K209" r:id="rId198" xr:uid="{E2413F39-9B25-4A6D-BB75-D38ECFD8682E}"/>
    <hyperlink ref="K210" r:id="rId199" xr:uid="{B1F30F5B-8018-48A7-9EB8-9AFD8DD94392}"/>
    <hyperlink ref="K211" r:id="rId200" xr:uid="{C59CC91C-D87A-4AEE-B8AE-C4E2AE50C804}"/>
    <hyperlink ref="K212" r:id="rId201" xr:uid="{9A6F1191-4131-424B-AD30-6560F81CF82A}"/>
    <hyperlink ref="K213" r:id="rId202" xr:uid="{8A89B5C2-A4F2-4D0B-B9E1-DE9419286DBF}"/>
    <hyperlink ref="K214" r:id="rId203" xr:uid="{3090047F-B074-4E40-8E9C-CED56A6E2E1D}"/>
    <hyperlink ref="K215" r:id="rId204" xr:uid="{C7F5CB45-6F15-4B94-95A7-5D3D0A1036F3}"/>
    <hyperlink ref="K216" r:id="rId205" xr:uid="{B68049EE-9F56-477B-A150-273C7E8A908B}"/>
    <hyperlink ref="K217" r:id="rId206" xr:uid="{8287DE48-C6E9-4327-BE44-FC8B61D58E00}"/>
    <hyperlink ref="K218" r:id="rId207" xr:uid="{AF15ED3F-7B8A-4F7D-B719-0313041BCF8A}"/>
    <hyperlink ref="K219" r:id="rId208" xr:uid="{28A12885-ED7F-4389-BD8C-150B46739E8F}"/>
    <hyperlink ref="K220" r:id="rId209" xr:uid="{0BAA7FB4-46BA-462B-8E9C-D510DC2E0CD2}"/>
    <hyperlink ref="K221" r:id="rId210" xr:uid="{46589BB2-1758-4EC5-9133-80DCACB51E12}"/>
    <hyperlink ref="K222" r:id="rId211" xr:uid="{F84C76C1-24FF-472E-937E-6B67637564D0}"/>
    <hyperlink ref="K223" r:id="rId212" xr:uid="{D4035319-45ED-4237-92C8-A9535483F08A}"/>
    <hyperlink ref="K224" r:id="rId213" xr:uid="{FC9995DE-CA77-4B69-A416-C706AD6FEFCD}"/>
    <hyperlink ref="K225" r:id="rId214" xr:uid="{A410B567-2E54-4342-AFA1-82DD8A0F5D6A}"/>
    <hyperlink ref="K226" r:id="rId215" xr:uid="{334A703C-FACE-4EFD-B80E-358C90C39D58}"/>
    <hyperlink ref="K227" r:id="rId216" xr:uid="{042039D8-7A94-44BC-A571-D74998F8C10A}"/>
    <hyperlink ref="K228" r:id="rId217" xr:uid="{3EDEF241-B1E6-4857-BC22-FD1192D2EF58}"/>
    <hyperlink ref="K229" r:id="rId218" xr:uid="{CE52E796-8DC9-432F-91EE-E49FBECF7322}"/>
    <hyperlink ref="K230" r:id="rId219" xr:uid="{F7D6C632-5EC6-4A43-9ACB-779F321CC235}"/>
    <hyperlink ref="K231" r:id="rId220" xr:uid="{E60A050F-17D0-4CA4-8E07-1F2CF9FCEF6F}"/>
    <hyperlink ref="K232" r:id="rId221" xr:uid="{F8DEBC9E-3684-4535-907F-97BC05D0D0E9}"/>
    <hyperlink ref="K233" r:id="rId222" xr:uid="{736CB7DD-865A-45CF-AC71-207C3BE0C58E}"/>
    <hyperlink ref="K234" r:id="rId223" xr:uid="{3E205E19-D4A9-4CC1-82E3-32A8FA160DB0}"/>
    <hyperlink ref="K235" r:id="rId224" xr:uid="{73E6992B-31BD-4AAF-9226-C781C7DE2595}"/>
    <hyperlink ref="K236" r:id="rId225" xr:uid="{DF531A38-EB5C-4119-AD66-0E8A018361B0}"/>
    <hyperlink ref="K237" r:id="rId226" xr:uid="{72401A1A-EC36-46FA-9FF7-036E5BC63F1C}"/>
    <hyperlink ref="K238" r:id="rId227" xr:uid="{01A834AE-953B-49B5-82FC-9308475CBE8B}"/>
    <hyperlink ref="K239" r:id="rId228" xr:uid="{1F3988ED-412D-4B45-9896-9BE104EE634A}"/>
    <hyperlink ref="K240" r:id="rId229" xr:uid="{AB15CF43-CDE1-4B32-9E3A-A57C8D36E42B}"/>
    <hyperlink ref="K241" r:id="rId230" xr:uid="{B972B894-81EC-4D5B-8CDE-A305C469F432}"/>
    <hyperlink ref="K242" r:id="rId231" xr:uid="{C849E185-50A9-4953-9B79-1E21519DD1D9}"/>
    <hyperlink ref="K243" r:id="rId232" xr:uid="{574FAFE5-D461-4524-B1C7-607F19F1817F}"/>
    <hyperlink ref="K244" r:id="rId233" xr:uid="{517A26C2-9EF7-4480-BD38-99BBFF2B7CA8}"/>
    <hyperlink ref="K245" r:id="rId234" xr:uid="{B4215CFA-6B66-4E7C-A904-E670239116C1}"/>
    <hyperlink ref="K246" r:id="rId235" xr:uid="{07D545F4-CE83-4288-A4A2-168C0A310189}"/>
    <hyperlink ref="K247" r:id="rId236" xr:uid="{F060F697-A4BC-49A3-8639-CCA5B47F6F8B}"/>
    <hyperlink ref="K248" r:id="rId237" xr:uid="{EC844157-E964-41A4-ABE9-ACAE33C733F7}"/>
    <hyperlink ref="K249" r:id="rId238" xr:uid="{AFA4D633-E56B-409F-8A7C-4904D71A620C}"/>
    <hyperlink ref="K250" r:id="rId239" xr:uid="{CC25F0F1-0817-4362-A39E-3F0C3F04BD28}"/>
    <hyperlink ref="K251" r:id="rId240" xr:uid="{2D2821F2-CD62-474F-81D2-C7CAC7E57AA4}"/>
    <hyperlink ref="K252" r:id="rId241" xr:uid="{7F659512-BB53-4645-8002-8F5E94FB17BB}"/>
    <hyperlink ref="K253" r:id="rId242" xr:uid="{9575F8C2-26A2-46F6-90FF-C0B99043FA4A}"/>
    <hyperlink ref="K254" r:id="rId243" xr:uid="{19051585-5B01-4FDF-86F6-51A284743D32}"/>
    <hyperlink ref="K255" r:id="rId244" xr:uid="{8373B57A-EE08-40B7-8ECB-4269AE4AAC0E}"/>
    <hyperlink ref="K256" r:id="rId245" xr:uid="{F50FEB8A-AE60-458F-BCF0-A2A13202E304}"/>
    <hyperlink ref="K257" r:id="rId246" xr:uid="{5CE3EB6E-9395-4495-8889-8F74421F8C44}"/>
    <hyperlink ref="K258" r:id="rId247" xr:uid="{CFF2E378-69F4-415C-A167-413A940CEE32}"/>
    <hyperlink ref="K259" r:id="rId248" xr:uid="{F394A609-7B0F-49E3-8A3F-7F68F23E14B9}"/>
    <hyperlink ref="K260" r:id="rId249" xr:uid="{CEF35ED8-2EEB-495D-8363-F527D866ECB5}"/>
    <hyperlink ref="K261" r:id="rId250" xr:uid="{8695FFFB-FEA1-4C98-84A1-B30DF45269F8}"/>
    <hyperlink ref="K262" r:id="rId251" xr:uid="{F7588AE6-E07B-413F-8CDE-26EA62430B13}"/>
    <hyperlink ref="K263" r:id="rId252" xr:uid="{E291CEFB-FC0E-44AF-AA56-FAD09930842C}"/>
    <hyperlink ref="K264" r:id="rId253" xr:uid="{4861F59B-B4B1-417F-B284-3C0628AF4BE3}"/>
    <hyperlink ref="K265" r:id="rId254" xr:uid="{129A5F0C-2997-4E15-9E93-C22848767052}"/>
    <hyperlink ref="K266" r:id="rId255" xr:uid="{C3F0343B-FC10-42FC-9BB2-AA25BC985900}"/>
    <hyperlink ref="K267" r:id="rId256" xr:uid="{88494DA1-71E8-482E-A90A-ACFC3E1823FC}"/>
    <hyperlink ref="K268" r:id="rId257" xr:uid="{341DC8B3-9659-442E-8C90-389282A7B8C9}"/>
    <hyperlink ref="K269" r:id="rId258" xr:uid="{2CD89A99-D42F-493F-92C5-C238D8B2DADB}"/>
    <hyperlink ref="K270" r:id="rId259" xr:uid="{547B23D9-8D0B-4CB2-B77B-95F5D6F35CED}"/>
    <hyperlink ref="K271" r:id="rId260" xr:uid="{A0C093FE-E1AC-4B72-BA7D-2A02747C76C5}"/>
    <hyperlink ref="K272" r:id="rId261" xr:uid="{6D3EEAB8-6466-4EAA-8B22-C9E5AABD774B}"/>
    <hyperlink ref="K273" r:id="rId262" xr:uid="{32594BE8-55BD-4B54-A797-19FF5C4F3EF2}"/>
    <hyperlink ref="K274" r:id="rId263" xr:uid="{CA2E1108-E78B-46EB-A91A-C26BD8763389}"/>
    <hyperlink ref="K275" r:id="rId264" xr:uid="{B6C746DB-DBED-4BE2-B55E-332F1929A96E}"/>
    <hyperlink ref="K276" r:id="rId265" xr:uid="{F1025A52-D718-481A-9ABE-8B22E8CF7907}"/>
    <hyperlink ref="K277" r:id="rId266" xr:uid="{80969523-A01D-41C4-BAEE-38DD285E1330}"/>
    <hyperlink ref="K278" r:id="rId267" xr:uid="{2EC004E9-5EB4-43B7-9665-FBFA59E267D4}"/>
    <hyperlink ref="K279" r:id="rId268" xr:uid="{A7B7C8A2-05B6-4835-9250-F6CE17C42F1C}"/>
    <hyperlink ref="K280" r:id="rId269" xr:uid="{C1F0D4CB-8599-4187-AC27-109B7B4651A4}"/>
    <hyperlink ref="K281" r:id="rId270" xr:uid="{0093F201-DC09-46B8-956A-95C1F5C6D7BF}"/>
    <hyperlink ref="K282" r:id="rId271" xr:uid="{B73C162B-6853-4DF2-8A5F-DC40D86431ED}"/>
    <hyperlink ref="K283" r:id="rId272" xr:uid="{853772A3-64FE-4735-BBF4-60B24B848217}"/>
    <hyperlink ref="K284" r:id="rId273" xr:uid="{C76B72F5-2184-416B-B04C-934EE4792DE9}"/>
    <hyperlink ref="K285" r:id="rId274" xr:uid="{6D466FBD-2F78-44A7-B7FF-27E60DE106FB}"/>
    <hyperlink ref="K286" r:id="rId275" xr:uid="{52D45C89-30EC-4486-A2CF-8F7FB9A58D32}"/>
    <hyperlink ref="K287" r:id="rId276" xr:uid="{B742138F-63B6-48F3-901B-868C02C433ED}"/>
    <hyperlink ref="K288" r:id="rId277" xr:uid="{8078422E-8CB2-46E3-BE24-B669B15279F5}"/>
    <hyperlink ref="K289" r:id="rId278" xr:uid="{B42F821A-D812-4BA7-86CC-9CEE14039390}"/>
    <hyperlink ref="K290" r:id="rId279" xr:uid="{B61D41CF-E318-421B-A3F0-6E812A6C876A}"/>
    <hyperlink ref="K291" r:id="rId280" xr:uid="{D8525F4C-9B81-4617-83E8-C7E640067AC5}"/>
    <hyperlink ref="K292" r:id="rId281" xr:uid="{2C92420B-E59C-49C6-9406-1FFF381267D4}"/>
    <hyperlink ref="K293" r:id="rId282" xr:uid="{F6C61654-3BB6-443B-9AD9-EACDD0309D16}"/>
    <hyperlink ref="K294" r:id="rId283" xr:uid="{9C8824C1-A00E-4C63-AC3C-8A45C3E1E9E7}"/>
    <hyperlink ref="K295" r:id="rId284" xr:uid="{63C177CA-2220-43C7-A5C2-A1D205A6C9C8}"/>
    <hyperlink ref="K296" r:id="rId285" xr:uid="{29A66DA8-1BBF-4E9A-9768-0106788CC912}"/>
    <hyperlink ref="K297" r:id="rId286" xr:uid="{A2BB57CE-5384-4CC3-B698-460D5C69598A}"/>
    <hyperlink ref="K298" r:id="rId287" xr:uid="{24ED09C6-4EFF-46E9-BB1D-80FC3E7F36D1}"/>
    <hyperlink ref="K299" r:id="rId288" xr:uid="{8816F85F-EFF6-4CC1-B8FC-DC872B4AAE8B}"/>
    <hyperlink ref="K300" r:id="rId289" xr:uid="{C4E58378-19B3-4E31-A9FE-8B7EAC809731}"/>
    <hyperlink ref="K301" r:id="rId290" xr:uid="{1C918B81-12D0-4420-94DE-EE61389BBEBC}"/>
    <hyperlink ref="K302" r:id="rId291" xr:uid="{AA9CDD4C-8F4A-4BF5-BC55-EA07B9E7D056}"/>
    <hyperlink ref="K303" r:id="rId292" xr:uid="{2529C9DC-0490-4DDB-A940-489933B3294E}"/>
    <hyperlink ref="K304" r:id="rId293" xr:uid="{7AC917E6-FA7C-4600-929E-3688F0C295BB}"/>
    <hyperlink ref="K305" r:id="rId294" xr:uid="{B42B424B-9998-420F-A896-F0A1615C56F0}"/>
    <hyperlink ref="K306" r:id="rId295" xr:uid="{74ADB997-E0B4-4845-BC80-FEA4CB82D444}"/>
    <hyperlink ref="K307" r:id="rId296" xr:uid="{C71048B5-F8A7-4ED6-94F8-2D3880179C79}"/>
    <hyperlink ref="K308" r:id="rId297" xr:uid="{B6CC5485-E644-4238-9FB0-3E6A049C8C94}"/>
    <hyperlink ref="K309" r:id="rId298" xr:uid="{31821348-BA34-47FA-A773-B4E27632B5FE}"/>
    <hyperlink ref="K310" r:id="rId299" xr:uid="{F9035DDA-D3F7-429F-AC6B-7347E26B1C56}"/>
    <hyperlink ref="K311" r:id="rId300" xr:uid="{20BB720E-6CD5-4CAA-A7CE-474E17B52CA9}"/>
    <hyperlink ref="K312" r:id="rId301" xr:uid="{4BBCB615-1990-49D2-BAE7-A367FD76D034}"/>
    <hyperlink ref="K313" r:id="rId302" xr:uid="{A5FB93C8-5908-4883-B2DB-9D61AA2B0F1F}"/>
    <hyperlink ref="K314" r:id="rId303" xr:uid="{256AA35A-A188-4231-9C68-7A14C51A751B}"/>
    <hyperlink ref="K315" r:id="rId304" xr:uid="{0BBF87C8-A8C5-46A5-AE10-DBED83BC30A9}"/>
    <hyperlink ref="K316" r:id="rId305" xr:uid="{6371EEFE-3F51-4D53-839B-6899D998F11B}"/>
    <hyperlink ref="K317" r:id="rId306" xr:uid="{9A690B50-63D6-4993-B1BD-FC25B8BDBE2A}"/>
    <hyperlink ref="K318" r:id="rId307" xr:uid="{44D3AD44-036B-4AAA-BCDF-BBDFF8FB3A45}"/>
    <hyperlink ref="K319" r:id="rId308" xr:uid="{96F8BFAE-6529-4D7C-82D4-4A9E07E3D982}"/>
    <hyperlink ref="K320" r:id="rId309" xr:uid="{446A60DA-192B-41DD-843C-D33AF3163913}"/>
    <hyperlink ref="K321" r:id="rId310" xr:uid="{BE5E8991-C868-4856-92BA-60C91480E324}"/>
    <hyperlink ref="K322" r:id="rId311" xr:uid="{8475D167-2472-4D41-B9B9-BA7B5EA349A8}"/>
    <hyperlink ref="K323" r:id="rId312" xr:uid="{614AF265-4AF7-449E-AD56-8F6DECB24A3A}"/>
    <hyperlink ref="K324" r:id="rId313" xr:uid="{0CF12797-FDF4-4A8A-BDD4-72C56C19D2CD}"/>
    <hyperlink ref="K325" r:id="rId314" xr:uid="{13BA7B14-8E9C-4090-9E50-C37433A7A9CD}"/>
    <hyperlink ref="K326" r:id="rId315" xr:uid="{1DD8A9A3-1422-4C47-A1F8-91A7E78E2A66}"/>
    <hyperlink ref="K327" r:id="rId316" xr:uid="{474953EA-CE89-43F7-A682-CCF54674BAEF}"/>
    <hyperlink ref="K328" r:id="rId317" xr:uid="{ED4B133D-B2D6-463A-8838-E01C1696EFA4}"/>
    <hyperlink ref="K329" r:id="rId318" xr:uid="{63D7D6A9-3686-4941-9E73-FEBA8565675F}"/>
    <hyperlink ref="K330" r:id="rId319" xr:uid="{58612E81-F4C2-4242-933D-EC9B10371267}"/>
    <hyperlink ref="K331" r:id="rId320" xr:uid="{13D033A2-7D1E-49F8-8015-6D9956EEBF04}"/>
    <hyperlink ref="K332" r:id="rId321" xr:uid="{A10FE864-1EDB-4E47-97E6-04FB1631CB68}"/>
    <hyperlink ref="K333" r:id="rId322" xr:uid="{317713CD-98F2-4DF8-A34C-C819F4E4DF89}"/>
    <hyperlink ref="K334" r:id="rId323" xr:uid="{214EC0AC-7A46-467C-9EE0-3AF461509FDA}"/>
    <hyperlink ref="K335" r:id="rId324" xr:uid="{3F34BF6E-106D-4E4F-A5FE-03CFBFBCF6CB}"/>
    <hyperlink ref="K336" r:id="rId325" xr:uid="{6C9200A1-2697-4DFC-9ED3-37D8204846F1}"/>
    <hyperlink ref="K337" r:id="rId326" xr:uid="{590C89BD-ACF1-41E5-9F65-E88B757C15FB}"/>
    <hyperlink ref="K338" r:id="rId327" xr:uid="{D62D481B-B4C9-47A5-9830-D3DB1CA86891}"/>
    <hyperlink ref="K339" r:id="rId328" xr:uid="{59A4D081-686E-405E-A983-2BCA98C0456D}"/>
    <hyperlink ref="K340" r:id="rId329" xr:uid="{FD669EBD-8EEB-4F8D-9E9F-27B7D95EEB12}"/>
    <hyperlink ref="K341" r:id="rId330" xr:uid="{FAF7DFF8-5BA5-4212-85F6-68606EFA50E1}"/>
    <hyperlink ref="K342" r:id="rId331" xr:uid="{A406EC28-682E-4F1F-863F-563F719878D1}"/>
    <hyperlink ref="K343" r:id="rId332" xr:uid="{918C759B-A1CE-4B69-B33F-6D37A34DE5E6}"/>
    <hyperlink ref="K344" r:id="rId333" xr:uid="{24C5A68F-388E-4D0E-A404-EAF2A7445F75}"/>
    <hyperlink ref="K345" r:id="rId334" xr:uid="{C7165CDA-9C2B-49B0-BC90-2918C9D82FEC}"/>
    <hyperlink ref="K346" r:id="rId335" xr:uid="{A3DEF386-2DD8-4FE0-AB4E-EF9FCFDDC783}"/>
    <hyperlink ref="K347" r:id="rId336" xr:uid="{D81E2679-3826-43CE-88AE-6432CD7AB8A2}"/>
    <hyperlink ref="K348" r:id="rId337" xr:uid="{C94F9F67-41BD-441E-B66B-7FD79C0CA9ED}"/>
    <hyperlink ref="K349" r:id="rId338" xr:uid="{0A191EFF-7ACA-4977-A348-338110DA47BD}"/>
    <hyperlink ref="K350" r:id="rId339" xr:uid="{696B5B4C-1ACF-401F-9B80-97CF19CCAAB7}"/>
    <hyperlink ref="K351" r:id="rId340" xr:uid="{DE77F6CC-D817-435C-B603-373810491C6F}"/>
    <hyperlink ref="K352" r:id="rId341" xr:uid="{5472E488-BE31-4186-81BA-31FA2F3B1688}"/>
    <hyperlink ref="K353" r:id="rId342" xr:uid="{73A733A1-64AD-4CFA-BFD5-10FDBC38B95D}"/>
    <hyperlink ref="K354" r:id="rId343" xr:uid="{C5D5B8F1-4159-44DA-8FC0-64D8E39A86C7}"/>
    <hyperlink ref="K355" r:id="rId344" xr:uid="{0A588AD8-C475-4658-8141-5244F9C53C3C}"/>
    <hyperlink ref="K356" r:id="rId345" xr:uid="{7BA605D3-77C4-4C2A-B08F-F96A6B2FED23}"/>
    <hyperlink ref="K357" r:id="rId346" xr:uid="{C0EBB84C-9B69-4E4E-A595-184A036985CA}"/>
    <hyperlink ref="K358" r:id="rId347" xr:uid="{526BE99C-61C1-4D5B-AF06-85D369367BF8}"/>
    <hyperlink ref="K359" r:id="rId348" xr:uid="{94D0DA83-D52E-4173-A9A0-B98F35742520}"/>
    <hyperlink ref="K360" r:id="rId349" xr:uid="{537449EB-91CD-431C-89F5-65CD2BFE61CB}"/>
    <hyperlink ref="K361" r:id="rId350" xr:uid="{14E6F78B-A5CD-4D4F-88F9-E0141573C265}"/>
    <hyperlink ref="K362" r:id="rId351" xr:uid="{045B2228-CC48-4D75-8C51-A944E8C761F4}"/>
    <hyperlink ref="K363" r:id="rId352" xr:uid="{B57BBA8A-7A3D-4C48-AD2B-A4C8CDE4A7EB}"/>
    <hyperlink ref="K364" r:id="rId353" xr:uid="{410E5767-E851-4FBB-B3CC-91C46BE0C39C}"/>
    <hyperlink ref="K365" r:id="rId354" xr:uid="{9A9709F9-6DCA-4CA0-9CD7-A9E080E59A50}"/>
    <hyperlink ref="K366" r:id="rId355" xr:uid="{F8506713-7045-4D8A-959D-5D21D7C30308}"/>
    <hyperlink ref="K367" r:id="rId356" xr:uid="{E21C5446-1F09-4CC2-97B8-210AE6E47573}"/>
    <hyperlink ref="K368" r:id="rId357" xr:uid="{0782D70A-5D41-42AD-91C1-3A85AAB9BED8}"/>
    <hyperlink ref="K369" r:id="rId358" xr:uid="{6F526C25-6C1E-4504-A699-BEE661A4168A}"/>
    <hyperlink ref="K370" r:id="rId359" xr:uid="{7176ACB6-B1FD-4717-A09D-6A2FDF495FEA}"/>
    <hyperlink ref="K371" r:id="rId360" xr:uid="{A4DF2B36-F4F1-420F-B40A-23AE78849116}"/>
    <hyperlink ref="K372" r:id="rId361" xr:uid="{DBBF8315-BC32-401F-AA05-3000907AC324}"/>
    <hyperlink ref="K373" r:id="rId362" xr:uid="{38EE8797-3136-4571-81FF-CF8D74CDFAE4}"/>
    <hyperlink ref="K374" r:id="rId363" xr:uid="{BF8EA52A-6F59-4BCB-B28F-45A123DA8008}"/>
    <hyperlink ref="K375" r:id="rId364" xr:uid="{766E706E-841A-41F7-96F5-4F1724C4F4B6}"/>
    <hyperlink ref="K376" r:id="rId365" xr:uid="{31343B6C-BC09-4424-8DD0-6295507D26D5}"/>
    <hyperlink ref="K377" r:id="rId366" xr:uid="{D382CB0C-0686-4F74-AB00-96332605BE1C}"/>
    <hyperlink ref="K378" r:id="rId367" xr:uid="{4239F2A8-8F9A-45EB-A914-32AF98925EC8}"/>
    <hyperlink ref="K379" r:id="rId368" xr:uid="{C74A9C46-64EA-42F4-8C87-B73C4F23726E}"/>
    <hyperlink ref="K380" r:id="rId369" xr:uid="{CDD241C7-BFCF-4D60-ACC7-96AE36AAFA22}"/>
    <hyperlink ref="K381" r:id="rId370" xr:uid="{6D0BA951-4BD8-4B00-9644-9A2CBF14406C}"/>
    <hyperlink ref="K382" r:id="rId371" xr:uid="{BB0F1BF7-A628-4F66-8F8F-9F0416254CC4}"/>
    <hyperlink ref="K383" r:id="rId372" xr:uid="{CA4B3988-971E-4274-A57B-AB8F77DCC6CF}"/>
    <hyperlink ref="K384" r:id="rId373" xr:uid="{D71EEF09-12C5-4645-B1B2-234A68D21221}"/>
    <hyperlink ref="K385" r:id="rId374" xr:uid="{4E2B6D8E-9489-427E-9629-9BB7516011C4}"/>
    <hyperlink ref="K386" r:id="rId375" xr:uid="{6EC3E5B4-2A01-4563-9454-7E7504A0DDD2}"/>
    <hyperlink ref="K387" r:id="rId376" xr:uid="{A6AA1CEE-3913-48E9-8C23-AFFC2D0550DC}"/>
    <hyperlink ref="K388" r:id="rId377" xr:uid="{92E66312-C592-4AF4-8EE9-5661E41AE3C1}"/>
    <hyperlink ref="K389" r:id="rId378" xr:uid="{8892AA88-383B-42AF-8C18-BE620F62E100}"/>
    <hyperlink ref="K390" r:id="rId379" xr:uid="{A98B90A5-B6A7-490B-9B59-E2EF8604285F}"/>
    <hyperlink ref="K391" r:id="rId380" xr:uid="{83B6B12A-2B1B-43D9-97FE-1D7E7601FD28}"/>
    <hyperlink ref="K392" r:id="rId381" xr:uid="{9FD30010-AEFE-43E6-ABBA-741F27261F6D}"/>
    <hyperlink ref="K393" r:id="rId382" xr:uid="{25CFED18-1CE5-4FCE-A980-9722BE3EC6C7}"/>
    <hyperlink ref="K394" r:id="rId383" xr:uid="{F10E63B5-EC71-4FE7-8234-E2B60E069DDC}"/>
    <hyperlink ref="K395" r:id="rId384" xr:uid="{8A420FA7-4948-470A-8B3D-F6F45BB23A94}"/>
    <hyperlink ref="K396" r:id="rId385" xr:uid="{7E71EC7A-363D-4241-8C3E-8B7DC659FEBF}"/>
    <hyperlink ref="K397" r:id="rId386" xr:uid="{A70C7BB6-3AC3-43A4-82FF-65E32713C3BA}"/>
    <hyperlink ref="K398" r:id="rId387" xr:uid="{FB610EA9-747E-4243-A537-B34A2A552431}"/>
    <hyperlink ref="K399" r:id="rId388" xr:uid="{DB37E885-A05B-4C34-837A-C09FFB61E3E3}"/>
    <hyperlink ref="K400" r:id="rId389" xr:uid="{5EE380C3-F405-4FC8-9721-2E5E8F48C9E8}"/>
    <hyperlink ref="K401" r:id="rId390" xr:uid="{37BE0DE7-35E1-4DDA-9F54-ADAA86B285D3}"/>
    <hyperlink ref="K402" r:id="rId391" xr:uid="{5F2313F4-0AAA-4CAA-A297-1BAD2BDABCD5}"/>
    <hyperlink ref="K403" r:id="rId392" xr:uid="{88FA8ACC-B870-469E-8692-DF74AB0E7AF7}"/>
    <hyperlink ref="K404" r:id="rId393" xr:uid="{6368730F-8B7A-47CA-A1A2-7112E3922EA0}"/>
    <hyperlink ref="K405" r:id="rId394" xr:uid="{A96DDF45-925C-448D-B22F-9099FFF84B4D}"/>
    <hyperlink ref="K406" r:id="rId395" xr:uid="{8878B724-6A85-4957-B46A-1C297A0C241F}"/>
    <hyperlink ref="K407" r:id="rId396" xr:uid="{283FEFC0-EC32-491C-8197-BDFF55F8CF4D}"/>
    <hyperlink ref="K408" r:id="rId397" xr:uid="{CD2A2ED0-BAEC-485A-8B7C-EFF0A7CCB4AB}"/>
    <hyperlink ref="K409" r:id="rId398" xr:uid="{D8D103DD-4249-4EF8-AD95-F9A9FA75FB65}"/>
    <hyperlink ref="K410" r:id="rId399" xr:uid="{58FA6B4C-95AA-462B-9732-512000F794B7}"/>
    <hyperlink ref="K411" r:id="rId400" xr:uid="{63F8A054-D6D5-4CB7-8093-17B13F405C89}"/>
    <hyperlink ref="K412" r:id="rId401" xr:uid="{13219689-4A14-47D4-B3D2-6CBB3E12FA48}"/>
    <hyperlink ref="K413" r:id="rId402" xr:uid="{DEED5470-8E45-426B-8137-DD567798CFB1}"/>
    <hyperlink ref="K414" r:id="rId403" xr:uid="{84A29B53-7696-44DD-B6C0-405762C8EC27}"/>
    <hyperlink ref="K415" r:id="rId404" xr:uid="{E7159BF8-38EB-463E-A757-F1E6DC5EFC36}"/>
    <hyperlink ref="K416" r:id="rId405" xr:uid="{E88DBA1D-8AEE-482B-B4EA-4D2B793D0824}"/>
    <hyperlink ref="K417" r:id="rId406" xr:uid="{6FBB68C0-996C-4A4C-9034-B5954A239B22}"/>
    <hyperlink ref="K418" r:id="rId407" xr:uid="{90643008-182F-4861-814A-C38F78F1B9E4}"/>
    <hyperlink ref="K419" r:id="rId408" xr:uid="{94B65316-D711-400B-A380-EFD516D6C6DE}"/>
    <hyperlink ref="K420" r:id="rId409" xr:uid="{186DD216-EF56-4A9E-800F-40FAB05209B2}"/>
    <hyperlink ref="K421" r:id="rId410" xr:uid="{752E1975-76FD-4061-89C5-E851D05369B0}"/>
    <hyperlink ref="K422" r:id="rId411" xr:uid="{82824940-587F-4E84-A23A-17BAEAAA7B0C}"/>
    <hyperlink ref="K423" r:id="rId412" xr:uid="{A17A809B-8C5F-4AA5-9B9B-A0CD982CB256}"/>
    <hyperlink ref="K424" r:id="rId413" xr:uid="{C3895464-9938-44ED-8455-4C2767E3BE8C}"/>
    <hyperlink ref="K425" r:id="rId414" xr:uid="{CDAA7369-3DAD-425D-A4F9-B8F7CBD9CEAD}"/>
    <hyperlink ref="K426" r:id="rId415" xr:uid="{7AE3788D-75B0-4DB9-A743-6E99C2CD4C7D}"/>
    <hyperlink ref="K427" r:id="rId416" xr:uid="{6967F3D6-475F-4E06-B523-E87959A4F528}"/>
    <hyperlink ref="K428" r:id="rId417" xr:uid="{1C254A15-E933-4BCE-A577-A4E9B9B3D6FA}"/>
    <hyperlink ref="K429" r:id="rId418" xr:uid="{7AF30800-5D3C-40A2-A34C-EBBC69D364C7}"/>
    <hyperlink ref="K430" r:id="rId419" xr:uid="{B7A5EDEB-FC9B-4D31-AF92-A6415E709698}"/>
    <hyperlink ref="K431" r:id="rId420" xr:uid="{08ADACB4-F693-4B3F-866E-43AD87CAA044}"/>
    <hyperlink ref="K432" r:id="rId421" xr:uid="{B14E9F01-1CD6-48B1-8374-ACE876C180D9}"/>
    <hyperlink ref="K433" r:id="rId422" xr:uid="{1F435B78-B684-419A-BFF4-C0AEAE49B60B}"/>
    <hyperlink ref="K434" r:id="rId423" xr:uid="{2A32EC51-E9C8-4F53-81FE-3169D6188B01}"/>
    <hyperlink ref="K435" r:id="rId424" xr:uid="{6B5D917B-FEBC-45A4-81C1-6BA6A47F2C72}"/>
    <hyperlink ref="K436" r:id="rId425" xr:uid="{59DFDDA8-EC52-4F21-937F-CAEDA01FC015}"/>
    <hyperlink ref="K437" r:id="rId426" xr:uid="{FC0CBF6E-ADB3-49E7-9C8A-20F4102EAA4F}"/>
    <hyperlink ref="K438" r:id="rId427" xr:uid="{DE94B44C-D4BE-47C2-A5A7-93C99CD4E804}"/>
    <hyperlink ref="K439" r:id="rId428" xr:uid="{C5B7BF98-F622-49D9-8DB3-6DE2B3B7100B}"/>
    <hyperlink ref="K440" r:id="rId429" xr:uid="{8F342B95-7DBD-4105-A559-7E1FEA68979B}"/>
    <hyperlink ref="K441" r:id="rId430" xr:uid="{0E66E19A-6FF4-4ACB-9FF7-B9AD27F9BFAE}"/>
    <hyperlink ref="K442" r:id="rId431" xr:uid="{326A0937-A3A3-4948-914A-AE8BC3FE0B4C}"/>
    <hyperlink ref="K443" r:id="rId432" xr:uid="{40704F4A-3284-43A3-B5E1-756477C904D3}"/>
    <hyperlink ref="K444" r:id="rId433" xr:uid="{37522898-716A-4DC7-9B35-EE52B44D7C82}"/>
    <hyperlink ref="K445" r:id="rId434" xr:uid="{84A8C7D5-084A-441F-85BB-1EA52F153977}"/>
    <hyperlink ref="K446" r:id="rId435" xr:uid="{8B970307-7BF6-4A01-91B1-0A3AA7E0A818}"/>
    <hyperlink ref="K447" r:id="rId436" xr:uid="{CD21563A-A5E5-4110-9480-D7A687B97A23}"/>
    <hyperlink ref="K448" r:id="rId437" xr:uid="{792EDD41-C013-41AE-A79B-905728EF9266}"/>
    <hyperlink ref="K449" r:id="rId438" xr:uid="{D107A180-90C4-4161-BDB5-4DD10C412928}"/>
    <hyperlink ref="K450" r:id="rId439" xr:uid="{90276B7C-DAFF-43AB-91AF-8692D067FC7B}"/>
    <hyperlink ref="K451" r:id="rId440" xr:uid="{EF21D00D-B376-4C6A-851C-4D43C4248A40}"/>
    <hyperlink ref="K452" r:id="rId441" xr:uid="{4C598F6F-C1DE-4548-B6C8-D704B1E9BE29}"/>
    <hyperlink ref="K453" r:id="rId442" xr:uid="{13D25B24-7332-41A8-AB99-4E4797FB80D6}"/>
    <hyperlink ref="K454" r:id="rId443" xr:uid="{148D751F-A85E-4FF6-AAE0-8EB394184333}"/>
    <hyperlink ref="K455" r:id="rId444" xr:uid="{628AA899-2657-43F2-8858-6F617C291BE1}"/>
    <hyperlink ref="K456" r:id="rId445" xr:uid="{DA889A4E-E54D-42EA-A8A0-F5D558F29B77}"/>
    <hyperlink ref="K457" r:id="rId446" xr:uid="{C61D455C-3468-4F56-B482-4C030CDC2DB1}"/>
    <hyperlink ref="K458" r:id="rId447" xr:uid="{765A9389-51A3-4CB4-8F7C-E196905F5D8F}"/>
    <hyperlink ref="K459" r:id="rId448" xr:uid="{EAD720D5-E2BE-4A72-8BC0-F6CB6C6AF2F1}"/>
    <hyperlink ref="K460" r:id="rId449" xr:uid="{CCDA4395-D7A7-4786-A3A0-59F001CEF60C}"/>
    <hyperlink ref="K461" r:id="rId450" xr:uid="{197D287A-ACDF-4D2E-84BD-53D761C22871}"/>
    <hyperlink ref="K462" r:id="rId451" xr:uid="{C7259AA1-A70C-45F3-B8BF-AC4BD7A30134}"/>
    <hyperlink ref="K463" r:id="rId452" xr:uid="{7378D801-BD83-4A2B-B724-2F15CA0A780A}"/>
    <hyperlink ref="K464" r:id="rId453" xr:uid="{9CFF347D-810B-42FE-B359-3785A9CD4C55}"/>
    <hyperlink ref="K465" r:id="rId454" xr:uid="{9E6E58FC-FB0B-4BCA-9BA0-9E2C566391A8}"/>
    <hyperlink ref="K466" r:id="rId455" xr:uid="{704DA93A-654A-4B20-A481-74E85179CB65}"/>
    <hyperlink ref="K467" r:id="rId456" xr:uid="{59B1016C-E62F-4B50-AAD1-6210E35EE41E}"/>
    <hyperlink ref="K468" r:id="rId457" xr:uid="{E96B2151-A453-4236-A7D0-AC7D42EAFE0A}"/>
    <hyperlink ref="K469" r:id="rId458" xr:uid="{5D4A44D5-760D-48A2-B1CD-E0D48E5CCBCB}"/>
    <hyperlink ref="K470" r:id="rId459" xr:uid="{B6CF9834-8ECF-464B-8FF8-71D23BF50A28}"/>
    <hyperlink ref="K471" r:id="rId460" xr:uid="{FEC90C71-2B93-4C83-9C2C-C30B322911F2}"/>
    <hyperlink ref="K472" r:id="rId461" xr:uid="{27AE66DD-C73A-4AC1-AF09-27F3EDB80E91}"/>
    <hyperlink ref="K473" r:id="rId462" xr:uid="{58C25BC9-6077-4AE0-A7B3-374D5A213FB0}"/>
    <hyperlink ref="K474" r:id="rId463" xr:uid="{F1ABEB8E-A77D-411A-B994-75A4C3CE4F68}"/>
    <hyperlink ref="K475" r:id="rId464" xr:uid="{B38E4B7E-1275-4500-854B-F2C8274BD5B3}"/>
    <hyperlink ref="K476" r:id="rId465" xr:uid="{1907921B-DE11-4D0A-96BA-2E62438E5E63}"/>
    <hyperlink ref="K477" r:id="rId466" xr:uid="{656A94A7-57C4-4FA2-A931-BC5A6828B9D9}"/>
    <hyperlink ref="K478" r:id="rId467" xr:uid="{D91F78EF-DE4E-4802-9A07-1D9FD7690D2C}"/>
    <hyperlink ref="K479" r:id="rId468" xr:uid="{5E7BE6DD-4668-4FDB-802C-75455A5625D8}"/>
    <hyperlink ref="K480" r:id="rId469" xr:uid="{4687007A-E567-4E20-8D4E-CD10541892BB}"/>
    <hyperlink ref="K481" r:id="rId470" xr:uid="{850006CA-41FD-4E47-9135-D63606A48B92}"/>
    <hyperlink ref="K482" r:id="rId471" xr:uid="{A1383CF0-CC30-47A5-9D12-CBFBDE2C6575}"/>
    <hyperlink ref="K483" r:id="rId472" xr:uid="{0795F5A6-FC08-47E6-BE47-B62AEBA04F92}"/>
    <hyperlink ref="K484" r:id="rId473" xr:uid="{1B88AF17-A07F-4DEF-8004-8F3A4BAEA911}"/>
    <hyperlink ref="K485" r:id="rId474" xr:uid="{81152136-DF46-4EF4-9A85-5535A909C139}"/>
    <hyperlink ref="K486" r:id="rId475" xr:uid="{0AA6AFF7-B549-4BE5-8F83-06349CC7A442}"/>
    <hyperlink ref="K487" r:id="rId476" xr:uid="{7F87BC6A-BC9C-47FD-B0D1-6C4A6715378E}"/>
    <hyperlink ref="K488" r:id="rId477" xr:uid="{063BD534-B78F-46C7-BBD3-09AC479EE627}"/>
    <hyperlink ref="K489" r:id="rId478" xr:uid="{6CCC2DF2-C9E7-4101-BB54-83D3DE3B35A4}"/>
    <hyperlink ref="K490" r:id="rId479" xr:uid="{4403C9BF-F4E6-4008-B70E-E6436C1241CE}"/>
    <hyperlink ref="K491" r:id="rId480" xr:uid="{7947BB4E-8AE1-446F-BBAF-59A386C8EB57}"/>
    <hyperlink ref="K492" r:id="rId481" xr:uid="{EA872E87-D49D-4095-88D0-4FDC64E4DCF9}"/>
    <hyperlink ref="K493" r:id="rId482" xr:uid="{E97BCEE0-5CFB-4780-8028-C39ABE97D67E}"/>
    <hyperlink ref="K494" r:id="rId483" xr:uid="{921D5C17-1EB9-4C94-99A6-887F42A185AF}"/>
    <hyperlink ref="K495" r:id="rId484" xr:uid="{F9A91B3F-BC0A-4F2A-8372-F6896226322C}"/>
    <hyperlink ref="K496" r:id="rId485" xr:uid="{AFF0A5CB-B77D-44BB-AEE9-9D8A34C2B46E}"/>
    <hyperlink ref="K497" r:id="rId486" xr:uid="{FB79F89C-2411-45F9-B1A4-D61E3E9F5FA2}"/>
    <hyperlink ref="K498" r:id="rId487" xr:uid="{15419DDE-8644-4A5B-B1A5-37B2ADE97092}"/>
    <hyperlink ref="K499" r:id="rId488" xr:uid="{DA91E89D-4FE0-4983-AA5E-BCB03F01CF96}"/>
    <hyperlink ref="K500" r:id="rId489" xr:uid="{FD7B2485-1084-4099-8B48-0E2E19C41E6D}"/>
    <hyperlink ref="K501" r:id="rId490" xr:uid="{DCADD24E-D109-4771-BB61-F26EC7B9E388}"/>
    <hyperlink ref="K502" r:id="rId491" xr:uid="{CBFA355A-BDD5-4E54-A509-1FE80002B72C}"/>
    <hyperlink ref="K503" r:id="rId492" xr:uid="{E6D807E0-CDF1-431F-9AFA-BEBF815D6408}"/>
    <hyperlink ref="K504" r:id="rId493" xr:uid="{78501659-66CB-4206-9C42-3D19120DF7B5}"/>
    <hyperlink ref="K505" r:id="rId494" xr:uid="{2A202084-2A6C-45DE-A5CD-302F075015B2}"/>
    <hyperlink ref="K506" r:id="rId495" xr:uid="{BD132EC1-0F14-4DA6-8F5F-0C9912003042}"/>
    <hyperlink ref="K507" r:id="rId496" xr:uid="{ECA746A0-F881-4898-AB55-2FB70C9D8E7C}"/>
    <hyperlink ref="K508" r:id="rId497" xr:uid="{5018B746-FDEC-4760-965B-213D16FF117E}"/>
    <hyperlink ref="K509" r:id="rId498" xr:uid="{84E78FC2-B220-4755-A92D-B55F7B2FC887}"/>
    <hyperlink ref="K510" r:id="rId499" xr:uid="{657F8435-FAF4-41AA-BEBE-5192F5EB7F01}"/>
    <hyperlink ref="K511" r:id="rId500" xr:uid="{05306E48-51B6-4F54-A96F-E50E012330D7}"/>
    <hyperlink ref="K512" r:id="rId501" xr:uid="{046D76B1-30CF-4693-8C93-77BA1A91469D}"/>
    <hyperlink ref="K513" r:id="rId502" xr:uid="{B41E038D-1FDE-4F27-936F-4E1A328CF1CE}"/>
    <hyperlink ref="K514" r:id="rId503" xr:uid="{A2CEAD7A-D110-4ECA-AA6D-A103F215CE1E}"/>
    <hyperlink ref="K515" r:id="rId504" xr:uid="{2937300E-ECA2-40C5-B558-6E0FADC7A8CE}"/>
    <hyperlink ref="K516" r:id="rId505" xr:uid="{DAF6B1E1-740E-45F4-8C08-24BF54FCB13A}"/>
    <hyperlink ref="K517" r:id="rId506" xr:uid="{5752DFEC-B286-4138-BA1E-24301EFD913A}"/>
    <hyperlink ref="K518" r:id="rId507" xr:uid="{4F6F4C36-B288-425C-9B75-CC728210A9A4}"/>
    <hyperlink ref="K519" r:id="rId508" xr:uid="{AD1245EC-52D4-42A0-9D53-BD3B9468C100}"/>
    <hyperlink ref="K520" r:id="rId509" xr:uid="{E5551234-A4E7-41D5-A08D-E8CFBDE625E6}"/>
    <hyperlink ref="K521" r:id="rId510" xr:uid="{1DC04352-35FA-4A06-BADC-71A82869B0A2}"/>
    <hyperlink ref="K522" r:id="rId511" xr:uid="{A820F8AE-534D-42C4-ADA3-4FBED5B1F62B}"/>
    <hyperlink ref="K523" r:id="rId512" xr:uid="{D6C9DB5C-717E-40E6-9FEC-24ABA5B27CC5}"/>
    <hyperlink ref="K524" r:id="rId513" xr:uid="{9B0DA1FA-02BB-47E1-A212-6FD9C870E5EB}"/>
    <hyperlink ref="K525" r:id="rId514" xr:uid="{BCB73343-B9E1-40A8-813B-F4F2DF44B048}"/>
    <hyperlink ref="K526" r:id="rId515" xr:uid="{548FA8CC-EBF5-4913-947B-BCB1576C0457}"/>
    <hyperlink ref="K527" r:id="rId516" xr:uid="{F52DFFC1-D2AC-4259-9C37-97AF07D7D72A}"/>
    <hyperlink ref="K528" r:id="rId517" xr:uid="{C3F68011-B042-44B8-8821-E5E8CC9F9304}"/>
    <hyperlink ref="K529" r:id="rId518" xr:uid="{8130C9C5-3AB1-405F-A2A6-AD561D66C611}"/>
    <hyperlink ref="K530" r:id="rId519" xr:uid="{880E3F33-FFF7-4FD7-AF99-10FC5DB30001}"/>
    <hyperlink ref="K531" r:id="rId520" xr:uid="{0A62F466-9F7A-4109-B005-B557CBCF4D97}"/>
    <hyperlink ref="K532" r:id="rId521" xr:uid="{3F103DAB-7A5C-48BD-A6C9-6AD8CAC31AC2}"/>
    <hyperlink ref="K533" r:id="rId522" xr:uid="{72C7448B-1548-4E39-AD71-41F46BDD054F}"/>
    <hyperlink ref="K534" r:id="rId523" xr:uid="{4BA3901F-3B84-4B3F-AF95-98B96ADA1B5D}"/>
    <hyperlink ref="K535" r:id="rId524" xr:uid="{3358EC35-9F55-47D4-A9E4-F9BD85C507CF}"/>
    <hyperlink ref="K536" r:id="rId525" xr:uid="{267408D6-97CA-4315-B4C1-B21DCFEE14F8}"/>
    <hyperlink ref="K537" r:id="rId526" xr:uid="{54F5F130-C133-4779-9843-B7AF0D1C8C0A}"/>
    <hyperlink ref="K538" r:id="rId527" xr:uid="{99790AE4-3E8F-456C-A931-2EEE91755BD9}"/>
    <hyperlink ref="K539" r:id="rId528" xr:uid="{D44DB441-FE42-4FBF-8DF5-B6DD977AC8A9}"/>
    <hyperlink ref="K540" r:id="rId529" xr:uid="{3592EB1F-C922-49EB-B779-006429045871}"/>
    <hyperlink ref="K541" r:id="rId530" xr:uid="{6B9BD53C-3C21-41AB-BE82-ADAFB2424745}"/>
    <hyperlink ref="K542" r:id="rId531" xr:uid="{B756AD4B-4CA0-497F-A067-C72AF861D5EC}"/>
    <hyperlink ref="K543" r:id="rId532" xr:uid="{76978E4B-1B72-4DAA-84A5-17B5A4949919}"/>
    <hyperlink ref="K544" r:id="rId533" xr:uid="{3C2B742B-3388-46E5-B5BF-A42BBEF06CE3}"/>
    <hyperlink ref="K545" r:id="rId534" xr:uid="{8C1A4473-CBF2-4466-A91D-60DC9ED934F7}"/>
    <hyperlink ref="K546" r:id="rId535" xr:uid="{C03713FC-C0F3-499E-B0FB-6A4E1857D28D}"/>
    <hyperlink ref="K547" r:id="rId536" xr:uid="{11285007-9EFE-4052-BCFC-F61A93E27D49}"/>
    <hyperlink ref="K548" r:id="rId537" xr:uid="{F18ED55E-A64E-4818-852D-57231016A5FC}"/>
    <hyperlink ref="K549" r:id="rId538" xr:uid="{505FEA02-4FB5-4C67-A1CE-5B107819A816}"/>
    <hyperlink ref="K550" r:id="rId539" xr:uid="{57A3EFA5-86D3-41FC-9CC3-D943417CDBBA}"/>
    <hyperlink ref="K551" r:id="rId540" xr:uid="{D5C59822-27A6-4EF4-B91C-3ED6D3333668}"/>
    <hyperlink ref="K552" r:id="rId541" xr:uid="{DDE0C6E4-9181-4A7A-861C-BB5D1D0D67B1}"/>
    <hyperlink ref="K553" r:id="rId542" xr:uid="{18A9D169-0626-4350-B01C-F8162029856A}"/>
    <hyperlink ref="K554" r:id="rId543" xr:uid="{B49AE8C2-665B-496C-934C-6B76B25FC66A}"/>
    <hyperlink ref="K555" r:id="rId544" xr:uid="{2C694EFE-1759-4B7E-8C6B-ACFC48B713B7}"/>
    <hyperlink ref="K556" r:id="rId545" xr:uid="{CC00E70D-4FF9-4E61-AED7-224C02983BDF}"/>
    <hyperlink ref="K557" r:id="rId546" xr:uid="{CB06A479-C9AB-4F8A-807C-29A07D6F08FA}"/>
    <hyperlink ref="K558" r:id="rId547" xr:uid="{527A4331-24D9-4E4E-AD40-3B8114A7B87E}"/>
    <hyperlink ref="K559" r:id="rId548" xr:uid="{C250BABC-1257-4AEE-A33D-CE1CDBDBE5A0}"/>
    <hyperlink ref="K560" r:id="rId549" xr:uid="{BCB5D589-4872-4AC9-8280-27452B348877}"/>
    <hyperlink ref="K561" r:id="rId550" xr:uid="{D53D5FAD-C169-4F7F-8CB5-0BCA123CE8F3}"/>
    <hyperlink ref="K562" r:id="rId551" xr:uid="{56235141-0CFC-44B3-8B5F-1231A3F2CC92}"/>
    <hyperlink ref="K563" r:id="rId552" xr:uid="{B996EEA4-03F2-41DB-8A4F-6C63A90E630D}"/>
    <hyperlink ref="K564" r:id="rId553" xr:uid="{2E927FFA-7821-4862-9F68-85B03E5A6FC4}"/>
    <hyperlink ref="K565" r:id="rId554" xr:uid="{F8CB56A6-F5AE-45B5-88E6-99B853F08B46}"/>
    <hyperlink ref="K566" r:id="rId555" xr:uid="{B6E6D885-3D10-4219-B6F9-21955CF78E10}"/>
    <hyperlink ref="K567" r:id="rId556" xr:uid="{07561076-87A8-4EEC-9004-ABDB8CEB3AB3}"/>
    <hyperlink ref="K568" r:id="rId557" xr:uid="{614201FA-14B5-433B-9353-D756B2A4378D}"/>
    <hyperlink ref="K569" r:id="rId558" xr:uid="{632F20A3-D3BC-4DE2-8998-453EAE2BD3C7}"/>
    <hyperlink ref="K570" r:id="rId559" xr:uid="{45EF4821-77C6-4705-B871-967AC8247AE6}"/>
    <hyperlink ref="K571" r:id="rId560" xr:uid="{895BC8DF-EC31-4494-8617-E2D804E02A82}"/>
    <hyperlink ref="K572" r:id="rId561" xr:uid="{90567BDE-B735-43A1-8C71-A812F4B0234E}"/>
    <hyperlink ref="K573" r:id="rId562" xr:uid="{9F866F9D-CA45-4EBB-8677-C012C5C30043}"/>
    <hyperlink ref="K574" r:id="rId563" xr:uid="{8A4C1ECC-E38C-4964-8D30-95C95B1A4572}"/>
    <hyperlink ref="K575" r:id="rId564" xr:uid="{173D9EF8-D661-4267-85FB-86E1521EF7F2}"/>
    <hyperlink ref="K576" r:id="rId565" xr:uid="{0BF7A687-3EF8-43ED-8357-A4C57A465088}"/>
    <hyperlink ref="K577" r:id="rId566" xr:uid="{F2F54F07-9498-46AD-8B85-319E2079A17C}"/>
    <hyperlink ref="K578" r:id="rId567" xr:uid="{3D3F727F-8D85-438C-AF5E-76B035E97940}"/>
    <hyperlink ref="K579" r:id="rId568" xr:uid="{98F3AD70-7CF8-4188-872E-89D1D9E7D94B}"/>
    <hyperlink ref="K580" r:id="rId569" xr:uid="{AC574B79-8D01-4363-BDEF-D51FF70E8EC9}"/>
    <hyperlink ref="K581" r:id="rId570" xr:uid="{D72CF41D-6B01-4E8D-A7C3-DEB2D9969D63}"/>
    <hyperlink ref="K582" r:id="rId571" xr:uid="{02FCF94F-CE52-4E47-9DE7-67F6C059ABA5}"/>
    <hyperlink ref="K583" r:id="rId572" xr:uid="{6A1E8C07-1080-436F-B7B7-8BD3088E4707}"/>
    <hyperlink ref="K584" r:id="rId573" xr:uid="{3A497532-9927-43B5-8EC5-4CE53B8B00AE}"/>
    <hyperlink ref="K585" r:id="rId574" xr:uid="{16B5D66E-ABC2-400F-A9D2-EC0D2B12E2A5}"/>
    <hyperlink ref="K586" r:id="rId575" xr:uid="{8169F057-5D6F-4E3A-81DA-A59972ED46DB}"/>
    <hyperlink ref="K587" r:id="rId576" xr:uid="{86E03803-1767-4D2B-864C-B3957BA895D7}"/>
    <hyperlink ref="K588" r:id="rId577" xr:uid="{5B4BFC26-C4E9-4C9F-8B4F-99116066164F}"/>
    <hyperlink ref="K589" r:id="rId578" xr:uid="{44724609-9054-4D22-A6C9-00E6B0610408}"/>
    <hyperlink ref="K590" r:id="rId579" xr:uid="{D8D3E8E7-3B12-48EE-91B0-6C66399A3B3B}"/>
    <hyperlink ref="K591" r:id="rId580" xr:uid="{CF67651E-9CDA-4B80-83A4-1EB1A11497C9}"/>
    <hyperlink ref="K592" r:id="rId581" xr:uid="{0E4F9F64-64A4-4DCF-B3AE-0E0B09724414}"/>
    <hyperlink ref="K593" r:id="rId582" xr:uid="{F911FBFA-8D35-4444-9799-B96667CE1560}"/>
    <hyperlink ref="K594" r:id="rId583" xr:uid="{E457D2F1-43EC-4C08-9580-85065281A3B1}"/>
    <hyperlink ref="K595" r:id="rId584" xr:uid="{F8048C2E-8F72-4988-AF7D-53F2A462DE50}"/>
    <hyperlink ref="K596" r:id="rId585" xr:uid="{FBA47CF9-12C1-482A-A189-F0F7D3B5A191}"/>
    <hyperlink ref="K597" r:id="rId586" xr:uid="{EC785E92-4BAF-48A9-A318-FABA3E3D095C}"/>
    <hyperlink ref="K598" r:id="rId587" xr:uid="{85EF7F2F-86C7-4A37-B518-BCFC811CF98E}"/>
    <hyperlink ref="K599" r:id="rId588" xr:uid="{20B78956-89A8-4534-AD98-F560F299C6F3}"/>
    <hyperlink ref="K600" r:id="rId589" xr:uid="{9330845B-8737-4763-8DD6-155AC402BBE7}"/>
    <hyperlink ref="K601" r:id="rId590" xr:uid="{53173630-66BD-4E2D-9700-D623AB298273}"/>
    <hyperlink ref="K602" r:id="rId591" xr:uid="{1F734687-7844-4E4B-8C10-858E0785EF6F}"/>
    <hyperlink ref="K603" r:id="rId592" xr:uid="{90D34F6B-96A7-453B-92A9-21185CDE2379}"/>
    <hyperlink ref="K604" r:id="rId593" xr:uid="{0C9A0349-BDC8-4276-8D24-17A71DCD9E1A}"/>
    <hyperlink ref="K605" r:id="rId594" xr:uid="{C9C3875B-EDD2-493D-8C1B-EEE622CBDE8E}"/>
    <hyperlink ref="K606" r:id="rId595" xr:uid="{A15FED73-00B6-4519-A45C-56CE50050A0D}"/>
    <hyperlink ref="K607" r:id="rId596" xr:uid="{FB571ED0-2CE6-4162-95AF-9BE85E313E4A}"/>
    <hyperlink ref="K608" r:id="rId597" xr:uid="{680B94F8-3979-4C38-ABF7-C38838EB0314}"/>
    <hyperlink ref="K609" r:id="rId598" xr:uid="{BFFB676B-A7A0-490F-AC6C-59DC68C4140A}"/>
    <hyperlink ref="K610" r:id="rId599" xr:uid="{DF595F04-10A3-456F-B0CF-B2FEA6305ADC}"/>
    <hyperlink ref="K611" r:id="rId600" xr:uid="{4910562A-2EF7-45C1-AA6D-5FD96DA48583}"/>
    <hyperlink ref="K612" r:id="rId601" xr:uid="{8913951A-0159-4BE2-B2BB-D3E6E7FE3E2B}"/>
    <hyperlink ref="K613" r:id="rId602" xr:uid="{98033D47-779C-4215-8841-1B16D0A28121}"/>
    <hyperlink ref="K614" r:id="rId603" xr:uid="{8B553DD8-904A-4DAE-BD5D-A28303CBAFBF}"/>
    <hyperlink ref="K615" r:id="rId604" xr:uid="{ABEA611D-8507-4AD1-9DF3-F44AE87CDABB}"/>
    <hyperlink ref="K616" r:id="rId605" xr:uid="{C9BA3D63-B9B9-4742-B393-09D87EE8928A}"/>
    <hyperlink ref="K617" r:id="rId606" xr:uid="{99C5063C-32CE-4376-A061-E7E1DBFA1C06}"/>
    <hyperlink ref="K618" r:id="rId607" xr:uid="{0488EF95-AB39-4A75-83EA-F216F5137A47}"/>
    <hyperlink ref="K619" r:id="rId608" xr:uid="{6A45C89B-6396-41BA-B6F6-E61FCB62A463}"/>
    <hyperlink ref="K620" r:id="rId609" xr:uid="{B714C3D3-F6C0-4778-B2F5-C7700722A03A}"/>
    <hyperlink ref="K621" r:id="rId610" xr:uid="{F7681A2E-B280-4A68-8D80-E9AADAF74530}"/>
    <hyperlink ref="K622" r:id="rId611" xr:uid="{39F78BF8-8160-4EA5-92C2-6FB0CF61D33E}"/>
    <hyperlink ref="K623" r:id="rId612" xr:uid="{5C9D47BA-D76C-4AFE-9066-AC52EA7CD036}"/>
    <hyperlink ref="K624" r:id="rId613" xr:uid="{1717C009-31A9-4284-A216-47DF765C382B}"/>
    <hyperlink ref="K625" r:id="rId614" xr:uid="{98FB294F-C6A4-487A-9D37-F0A9BF6C3DE2}"/>
    <hyperlink ref="K626" r:id="rId615" xr:uid="{2D1CB491-1C39-4F73-968D-0FB6F6FDC913}"/>
    <hyperlink ref="K627" r:id="rId616" xr:uid="{3C35BE4E-E8E8-4B87-9535-1B8B76FBA9AD}"/>
    <hyperlink ref="K628" r:id="rId617" xr:uid="{52F46F54-45D6-47E2-9AEF-847DB3CA65F1}"/>
    <hyperlink ref="K629" r:id="rId618" xr:uid="{DE71347A-285B-4579-91BF-31CCDABD4A6E}"/>
    <hyperlink ref="K630" r:id="rId619" xr:uid="{2D49E17E-A96A-4196-AF01-9CD794E0EEB4}"/>
    <hyperlink ref="K631" r:id="rId620" xr:uid="{2D3140B3-3E76-40F8-8E0F-AEA9B2DDF239}"/>
    <hyperlink ref="K632" r:id="rId621" xr:uid="{B1E06ADE-0465-4859-B12C-203EC5DB63B6}"/>
    <hyperlink ref="K633" r:id="rId622" xr:uid="{E59F6071-D528-4CB4-9E98-03E9307BF9DA}"/>
    <hyperlink ref="K634" r:id="rId623" xr:uid="{7E79A2BE-31DC-44DD-B965-A8CC637BF10C}"/>
    <hyperlink ref="K635" r:id="rId624" xr:uid="{3E7E4037-5283-4DB7-8224-EA01610F603F}"/>
    <hyperlink ref="K636" r:id="rId625" xr:uid="{1BB0A549-A845-4C52-A1F2-A9C5C8485F24}"/>
    <hyperlink ref="K637" r:id="rId626" xr:uid="{3E93AC65-A373-41FF-9BD9-C05EC049EC3C}"/>
    <hyperlink ref="K638" r:id="rId627" xr:uid="{33F6B8C3-AF86-4202-B1A4-154EE710F24E}"/>
    <hyperlink ref="K639" r:id="rId628" xr:uid="{3E489FCD-54DF-4130-B793-EC29DB4604C8}"/>
    <hyperlink ref="K640" r:id="rId629" xr:uid="{32CA1520-F578-49D5-B0B3-AA10A2476D49}"/>
    <hyperlink ref="K641" r:id="rId630" xr:uid="{7DD16D26-3EC1-412F-938F-F4D5FC54F3BE}"/>
    <hyperlink ref="K642" r:id="rId631" xr:uid="{34AEF60E-905F-4DAC-9D2A-099C418F27A8}"/>
    <hyperlink ref="K643" r:id="rId632" xr:uid="{9E9783E3-C686-4930-83C7-9BD44758520B}"/>
    <hyperlink ref="K644" r:id="rId633" xr:uid="{42C66364-D79D-4D98-979A-56E2258F5C3F}"/>
    <hyperlink ref="K645" r:id="rId634" xr:uid="{3C5AE812-7FD9-47A8-95E9-FA6006E45068}"/>
    <hyperlink ref="K646" r:id="rId635" xr:uid="{49860F1E-D9FA-4D93-8694-D4713C6337FA}"/>
    <hyperlink ref="K647" r:id="rId636" xr:uid="{BCEC08DF-262D-43BE-A4E1-B7747C1D02FF}"/>
    <hyperlink ref="K648" r:id="rId637" xr:uid="{9B05E05C-21A2-4558-B12E-FFED6306DF79}"/>
    <hyperlink ref="K649" r:id="rId638" xr:uid="{6C39BE3C-E221-4EDA-977A-0A826E7DCB1C}"/>
    <hyperlink ref="K650" r:id="rId639" xr:uid="{E4F13447-BC4B-4221-91DC-9E03FFB5B0E0}"/>
    <hyperlink ref="K651" r:id="rId640" xr:uid="{06B8CDE8-C9E2-473E-9D2D-A821AA6E770E}"/>
    <hyperlink ref="K652" r:id="rId641" xr:uid="{1A2921BA-C23A-43E8-A3D8-95F7417237FE}"/>
    <hyperlink ref="K653" r:id="rId642" xr:uid="{C2858040-FB11-4022-8C70-5F7889183B53}"/>
    <hyperlink ref="K654" r:id="rId643" xr:uid="{7A6060DE-812B-4263-B32D-5FEC01BB6D46}"/>
    <hyperlink ref="K655" r:id="rId644" xr:uid="{A2CDAA11-84B0-4521-A348-67CA2C90D93C}"/>
    <hyperlink ref="K656" r:id="rId645" xr:uid="{C7FC40A4-051F-4CFA-B2DF-3A1801393C09}"/>
    <hyperlink ref="K657" r:id="rId646" xr:uid="{70FB5B7D-24CE-4EE1-AD2D-583BD938E76B}"/>
    <hyperlink ref="K658" r:id="rId647" xr:uid="{15CF04CC-C070-494B-8080-4F2EA74FB2C0}"/>
    <hyperlink ref="K659" r:id="rId648" xr:uid="{B2563722-6734-4C91-B2D8-71D29E74BA42}"/>
    <hyperlink ref="K660" r:id="rId649" xr:uid="{E94E020F-4A6A-4017-9604-4C8EE94D7B34}"/>
    <hyperlink ref="K661" r:id="rId650" xr:uid="{03DA9E97-9547-41C2-8A67-CC3288C07AFE}"/>
    <hyperlink ref="K662" r:id="rId651" xr:uid="{CD3DA3C4-5760-41DC-B9FD-95959028A7E9}"/>
    <hyperlink ref="K663" r:id="rId652" xr:uid="{869842CC-8EB5-4D6A-8BA1-E6E453A476FC}"/>
    <hyperlink ref="K664" r:id="rId653" xr:uid="{CB66E9AC-95BA-4BEF-A972-F6B990DB69DA}"/>
    <hyperlink ref="K665" r:id="rId654" xr:uid="{2619DB3B-F1DC-45C2-9210-8A94BD17D049}"/>
    <hyperlink ref="K666" r:id="rId655" xr:uid="{9457293C-4652-435C-9D13-268E47BF9567}"/>
    <hyperlink ref="K667" r:id="rId656" xr:uid="{CCAD56E6-865E-4914-BB3F-21E9F463B1CB}"/>
    <hyperlink ref="K668" r:id="rId657" xr:uid="{C394D83B-5BF3-4D81-B21F-F50EC751630F}"/>
    <hyperlink ref="K669" r:id="rId658" xr:uid="{D423EE29-7DEA-4EC5-A7D3-8F978A3D00E3}"/>
    <hyperlink ref="K670" r:id="rId659" xr:uid="{8F734994-E477-427A-BD71-2214B00C6374}"/>
    <hyperlink ref="K671" r:id="rId660" xr:uid="{8EDBD275-42C0-4652-937E-D41AAC4F0D27}"/>
    <hyperlink ref="K672" r:id="rId661" xr:uid="{227CE9DA-1BB0-4C4B-8B81-D07339748297}"/>
    <hyperlink ref="K673" r:id="rId662" xr:uid="{6C7A2644-D36C-4408-A2F4-1B5E3C722270}"/>
    <hyperlink ref="K674" r:id="rId663" xr:uid="{A3FB8A8C-C094-43A4-A3B8-F64226F6DA44}"/>
    <hyperlink ref="K675" r:id="rId664" xr:uid="{2FC29F2D-B2A9-490E-9C07-42E806274F5C}"/>
    <hyperlink ref="K676" r:id="rId665" xr:uid="{0DD30BAA-D383-4B5D-8D40-708FA6436BBA}"/>
    <hyperlink ref="K677" r:id="rId666" xr:uid="{EAD8F980-218C-4860-9A92-EC562F334366}"/>
    <hyperlink ref="K678" r:id="rId667" xr:uid="{53499E66-B568-4E25-AAD5-C1B571D3418A}"/>
    <hyperlink ref="K679" r:id="rId668" xr:uid="{B9AFDC5D-7A28-472A-AAEF-067BD65A7CDB}"/>
    <hyperlink ref="K680" r:id="rId669" xr:uid="{C55E0C05-2632-43EC-959B-72249ADB1048}"/>
    <hyperlink ref="K681" r:id="rId670" xr:uid="{091A7B1B-A023-47D1-B9C2-BD17B3E74D0B}"/>
    <hyperlink ref="K682" r:id="rId671" xr:uid="{8B6048F4-8706-48CC-BC61-D48CCD3D64C0}"/>
    <hyperlink ref="K683" r:id="rId672" xr:uid="{6D7869E9-072B-4808-8473-2908DABC3BFF}"/>
    <hyperlink ref="K684" r:id="rId673" xr:uid="{28A05CCB-102F-4EC9-B975-885C43702FA4}"/>
    <hyperlink ref="K685" r:id="rId674" xr:uid="{92C164EA-66B5-45AC-AC27-3B48972995BA}"/>
    <hyperlink ref="K686" r:id="rId675" xr:uid="{E605E07A-8CBF-4971-A7B6-51BDDDEFD807}"/>
    <hyperlink ref="K687" r:id="rId676" xr:uid="{4CEC59FA-A274-4599-9AD5-88E1ED29957E}"/>
    <hyperlink ref="K688" r:id="rId677" xr:uid="{874267A5-CADB-4CEF-A7E5-B32276C8BFDC}"/>
    <hyperlink ref="K689" r:id="rId678" xr:uid="{F542CFF5-8AF4-45AB-B4EB-A4020A5DE9E1}"/>
    <hyperlink ref="K690" r:id="rId679" xr:uid="{ABACB835-AC81-43EF-955C-DD714F26CC49}"/>
    <hyperlink ref="K691" r:id="rId680" xr:uid="{02812F48-815E-4987-B3DA-C12695E11215}"/>
    <hyperlink ref="K692" r:id="rId681" xr:uid="{652DDD18-4372-4889-9126-90F1490572D4}"/>
    <hyperlink ref="K693" r:id="rId682" xr:uid="{CF31705F-11C7-48D4-83ED-FADCA062F6EF}"/>
    <hyperlink ref="K694" r:id="rId683" xr:uid="{93A69A42-2BF2-4D44-8823-3AD0A6846721}"/>
    <hyperlink ref="K695" r:id="rId684" xr:uid="{79BBE3D5-E002-42D8-9FEB-85504A639D0C}"/>
    <hyperlink ref="K696" r:id="rId685" xr:uid="{E7B067A6-11A2-4C99-8F0E-AF593C82C9C8}"/>
    <hyperlink ref="K697" r:id="rId686" xr:uid="{2AE69386-6BE8-4C52-B944-24B233672832}"/>
    <hyperlink ref="K698" r:id="rId687" xr:uid="{3D1D7B8A-BEE8-4BF5-B4B7-1ABCEB7931C4}"/>
    <hyperlink ref="K699" r:id="rId688" xr:uid="{A905533F-544D-4B44-BCDE-A130656305CD}"/>
    <hyperlink ref="K700" r:id="rId689" xr:uid="{394B594A-3174-4CC6-839E-1FB30BD2AE96}"/>
    <hyperlink ref="K701" r:id="rId690" xr:uid="{91E1B255-5EC9-4687-8B32-61DC0A704038}"/>
    <hyperlink ref="K702" r:id="rId691" xr:uid="{07362A39-3F99-45B2-A1F4-C931A2C08030}"/>
    <hyperlink ref="K703" r:id="rId692" xr:uid="{C0617B74-E6E0-4DA7-85F3-D67821DC6175}"/>
    <hyperlink ref="K704" r:id="rId693" xr:uid="{10F75B30-9FBA-4E5D-AAAD-DFBEEC30011C}"/>
    <hyperlink ref="K705" r:id="rId694" xr:uid="{485B59CF-B1BD-455B-89F7-50115D162B8F}"/>
    <hyperlink ref="K706" r:id="rId695" xr:uid="{901EBED6-FE91-42AA-B848-10AB7051A935}"/>
    <hyperlink ref="K707" r:id="rId696" xr:uid="{86E91564-135A-4E20-88FA-8753E69EB773}"/>
    <hyperlink ref="K708" r:id="rId697" xr:uid="{948674B1-4A9B-4C3A-BBB9-D26BC7D5F3EE}"/>
    <hyperlink ref="K709" r:id="rId698" xr:uid="{BEC1AFB7-1AC2-4E1F-86B2-BABEE25545F1}"/>
    <hyperlink ref="K710" r:id="rId699" xr:uid="{2465B69E-3F29-4F26-8EE0-FA87117156FD}"/>
    <hyperlink ref="K711" r:id="rId700" xr:uid="{E42C37CB-93E4-448C-96EC-7A88323502D1}"/>
    <hyperlink ref="K712" r:id="rId701" xr:uid="{607CA027-EA4F-462F-A54E-84C8B15BD485}"/>
    <hyperlink ref="K713" r:id="rId702" xr:uid="{D2D6EE00-0959-46DC-BF0A-A8EA042A36B1}"/>
    <hyperlink ref="K714" r:id="rId703" xr:uid="{117DC889-A2DC-4D6F-A921-1CDE10D6D5D3}"/>
    <hyperlink ref="K715" r:id="rId704" xr:uid="{708844FE-079D-4DF6-B9DF-45B2F97474BB}"/>
    <hyperlink ref="K716" r:id="rId705" xr:uid="{DA1310A1-B898-4879-99C2-E2FFD2C43A5C}"/>
    <hyperlink ref="K717" r:id="rId706" xr:uid="{87B215AA-B500-4D9F-9BE7-5F45490D5048}"/>
    <hyperlink ref="K718" r:id="rId707" xr:uid="{ED5DFCCF-E38F-41AE-A6CD-6646613FFBBA}"/>
    <hyperlink ref="K719" r:id="rId708" xr:uid="{8DE200A6-8EA5-4F20-B8E1-1509066E2E4F}"/>
    <hyperlink ref="K720" r:id="rId709" xr:uid="{66F7B96A-928E-4CAD-B56F-BDD85ED1A4DA}"/>
    <hyperlink ref="K721" r:id="rId710" xr:uid="{B811805C-27CB-4CF4-8336-DAC68B0A8139}"/>
    <hyperlink ref="K722" r:id="rId711" xr:uid="{0F2FB9B7-66CE-423D-8F14-26A2ED016F92}"/>
    <hyperlink ref="K723" r:id="rId712" xr:uid="{F59F71EE-10C0-4C28-A2EC-768285B0688D}"/>
    <hyperlink ref="K724" r:id="rId713" xr:uid="{6EA7203F-C937-40AD-BFFF-5AEA691D77EB}"/>
    <hyperlink ref="K725" r:id="rId714" xr:uid="{BD02EADB-462D-4DDD-803A-F52EDAC7ED47}"/>
    <hyperlink ref="K726" r:id="rId715" xr:uid="{496BD8B9-EB3D-48C3-AF13-58A6ADDAEE2C}"/>
    <hyperlink ref="K727" r:id="rId716" xr:uid="{29A4A452-B50D-4242-80CF-280EB0F6861B}"/>
    <hyperlink ref="K728" r:id="rId717" xr:uid="{697DC4F9-3A43-40EF-B525-3D9EB39B10EB}"/>
    <hyperlink ref="K729" r:id="rId718" xr:uid="{338F0FBC-814F-4D25-8AED-9F0100513DAF}"/>
    <hyperlink ref="K730" r:id="rId719" xr:uid="{D575EC49-F769-4CAF-9CAA-FE42659FDB1A}"/>
    <hyperlink ref="K731" r:id="rId720" xr:uid="{0115EB6F-90F3-4243-A634-691B8702CB14}"/>
    <hyperlink ref="K732" r:id="rId721" xr:uid="{3BC7083B-B83B-40EF-837C-B28532B63FCE}"/>
    <hyperlink ref="K733" r:id="rId722" xr:uid="{B37CDDEF-6352-4C4E-BDCA-156AA5D1B524}"/>
    <hyperlink ref="K734" r:id="rId723" xr:uid="{172586DC-25E7-440D-8EFD-115A25948E28}"/>
    <hyperlink ref="K735" r:id="rId724" xr:uid="{14795956-0537-44B9-AC38-99AFE2494903}"/>
    <hyperlink ref="K736" r:id="rId725" xr:uid="{89074AB0-0EE0-4A48-BEC3-AD8D125E6674}"/>
    <hyperlink ref="K737" r:id="rId726" xr:uid="{E68F994C-C5FD-4F9F-A7BB-5220090137B5}"/>
    <hyperlink ref="K738" r:id="rId727" xr:uid="{64325069-7F23-499D-B4CD-29CD0BFE8732}"/>
    <hyperlink ref="K739" r:id="rId728" xr:uid="{669E8E06-EA06-4402-9E45-83338E285563}"/>
    <hyperlink ref="K740" r:id="rId729" xr:uid="{B47B3218-E2F7-4086-BA66-3174170E768D}"/>
    <hyperlink ref="K741" r:id="rId730" xr:uid="{71A1257A-C3BB-4734-961C-44D41915D7FF}"/>
    <hyperlink ref="K742" r:id="rId731" xr:uid="{09128B40-469B-4F22-8F1E-21D3143AE131}"/>
    <hyperlink ref="K743" r:id="rId732" xr:uid="{02163EE7-53ED-4845-82EC-E4A475A3DCFB}"/>
    <hyperlink ref="K744" r:id="rId733" xr:uid="{BCE84121-2A67-4CFB-BBCF-11B2804B859B}"/>
    <hyperlink ref="K745" r:id="rId734" xr:uid="{51D4C80C-863C-4F58-ABED-B4D28AA1608A}"/>
    <hyperlink ref="K746" r:id="rId735" xr:uid="{76CAA250-9D6F-4441-8B38-0D069FBA3357}"/>
    <hyperlink ref="K747" r:id="rId736" xr:uid="{3FC26D35-ACEB-4265-9B6D-C813F04B5230}"/>
    <hyperlink ref="K748" r:id="rId737" xr:uid="{5EB04D60-14C0-4B2A-AE87-56D01BEC588D}"/>
    <hyperlink ref="K749" r:id="rId738" xr:uid="{34674392-067B-4DDF-AE6F-45846972815F}"/>
    <hyperlink ref="K750" r:id="rId739" xr:uid="{10C033F8-145D-4CD4-A3B2-341E2D5378DE}"/>
    <hyperlink ref="K751" r:id="rId740" xr:uid="{60768F5D-5696-4A6A-99E2-DC6C5FF3BB4A}"/>
    <hyperlink ref="K752" r:id="rId741" xr:uid="{B5513C76-5F54-462C-87AC-B91E79879711}"/>
    <hyperlink ref="K753" r:id="rId742" xr:uid="{DABFCBF4-44BC-4FF2-B5BF-D9080A144FF1}"/>
    <hyperlink ref="K754" r:id="rId743" xr:uid="{56621780-C642-4E70-A649-65306BB7C4D8}"/>
    <hyperlink ref="K755" r:id="rId744" xr:uid="{7907A871-559E-48ED-960E-60876F9DE478}"/>
    <hyperlink ref="K756" r:id="rId745" xr:uid="{1DCD7792-8CDF-4159-9CF5-7CBB8B9AED0A}"/>
    <hyperlink ref="K757" r:id="rId746" xr:uid="{E7DFAE8E-9270-4F25-B8CF-3F2C4E0226F1}"/>
    <hyperlink ref="K758" r:id="rId747" xr:uid="{205E6E21-EAD3-466A-BCA5-9C617D0569D2}"/>
    <hyperlink ref="K759" r:id="rId748" xr:uid="{F30D9019-083C-4DD5-8C83-7DCA5C1A7422}"/>
    <hyperlink ref="K760" r:id="rId749" xr:uid="{B84E78BA-5C7D-4B35-A050-808D6F055D6F}"/>
    <hyperlink ref="K761" r:id="rId750" xr:uid="{5797CDA7-DFEE-4E8B-ACA7-35AB134B2C30}"/>
    <hyperlink ref="K762" r:id="rId751" xr:uid="{791E8911-E327-4F1F-A608-03C4CE8AEF28}"/>
    <hyperlink ref="K763" r:id="rId752" xr:uid="{BAD4C873-3AE2-477A-9986-697C0EAE1A19}"/>
    <hyperlink ref="K764" r:id="rId753" xr:uid="{7F8566B8-2C51-4D74-844B-47A2244194D2}"/>
    <hyperlink ref="K765" r:id="rId754" xr:uid="{0CE01CC8-A414-435E-B76C-A8641663C8BE}"/>
    <hyperlink ref="K766" r:id="rId755" xr:uid="{1037B8BD-CFAD-4E99-AF3A-F054383D98D8}"/>
    <hyperlink ref="K767" r:id="rId756" xr:uid="{39E466C3-1E7C-447F-BD56-C2A4824690CB}"/>
    <hyperlink ref="K768" r:id="rId757" xr:uid="{AF14B20A-8E08-4FF7-9E6D-285E30A45FA2}"/>
    <hyperlink ref="K769" r:id="rId758" xr:uid="{80208E1A-A776-4C3A-9E53-3D224BE9C449}"/>
    <hyperlink ref="K770" r:id="rId759" xr:uid="{D73AA613-DA83-4C41-9DF8-FE3B77D6E983}"/>
    <hyperlink ref="K771" r:id="rId760" xr:uid="{E16EEA98-828E-479D-A40F-03632DCC8EB6}"/>
    <hyperlink ref="K772" r:id="rId761" xr:uid="{E8AEE016-1ED3-4B67-9A46-018C841B86F4}"/>
    <hyperlink ref="K773" r:id="rId762" xr:uid="{8A7BB1F8-B8F6-4818-83E0-D23EB7097361}"/>
    <hyperlink ref="K774" r:id="rId763" xr:uid="{64F6F913-DED0-4B49-AFBF-062290C1FB84}"/>
    <hyperlink ref="K775" r:id="rId764" xr:uid="{939BA5F7-BF19-42EB-8540-BA804B8BF9B1}"/>
    <hyperlink ref="K776" r:id="rId765" xr:uid="{B2985123-274E-483F-95C3-F0CFF6E71AB3}"/>
    <hyperlink ref="K777" r:id="rId766" xr:uid="{3F92D198-0DE6-47B7-B28D-0428BFE55F0C}"/>
    <hyperlink ref="K778" r:id="rId767" xr:uid="{F420559B-200E-4FBF-B7A3-6445FC9034CF}"/>
    <hyperlink ref="K779" r:id="rId768" xr:uid="{C92D127E-C729-4CBC-AA6C-D8B9390A7990}"/>
    <hyperlink ref="K780" r:id="rId769" xr:uid="{97DD5CF2-F2D9-422B-8384-E1092BCA5A09}"/>
    <hyperlink ref="K781" r:id="rId770" xr:uid="{3FB83F98-2CBF-4C8D-BE33-2A6AA5696D4B}"/>
    <hyperlink ref="K782" r:id="rId771" xr:uid="{8DD5DC20-7514-4F78-AE5E-3AB47E43670F}"/>
    <hyperlink ref="K783" r:id="rId772" xr:uid="{4A528F80-87DF-4ADC-A148-58DC452FDC24}"/>
    <hyperlink ref="K784" r:id="rId773" xr:uid="{ECC0C848-D035-4587-9C4D-2D6ADAC9DF8D}"/>
    <hyperlink ref="K785" r:id="rId774" xr:uid="{82EDB673-1813-40B9-B067-C2CFCABD62CE}"/>
    <hyperlink ref="K786" r:id="rId775" xr:uid="{EAF2BA82-A476-4492-9257-B39CD6DEA5DD}"/>
    <hyperlink ref="K787" r:id="rId776" xr:uid="{B2FA5822-7B70-41AD-97AD-AAE7C837A8EB}"/>
    <hyperlink ref="K788" r:id="rId777" xr:uid="{BDCCD32C-85C2-44A6-818E-57757BE861AC}"/>
    <hyperlink ref="K789" r:id="rId778" xr:uid="{8F48B600-34C8-4760-82A0-47320980313A}"/>
    <hyperlink ref="K790" r:id="rId779" xr:uid="{7264817E-D2D3-4BAB-8948-597CB3F8296D}"/>
    <hyperlink ref="K791" r:id="rId780" xr:uid="{17F5260A-2FE8-498F-84D5-3A308A29EDA8}"/>
    <hyperlink ref="K792" r:id="rId781" xr:uid="{632704E5-1EB6-4938-8429-ADF8F9C9081D}"/>
  </hyperlinks>
  <pageMargins left="0.7" right="0.7" top="0.75" bottom="0.75" header="0.3" footer="0.3"/>
  <pageSetup paperSize="9" orientation="portrait" horizontalDpi="0" verticalDpi="0" r:id="rId7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</vt:lpstr>
    </vt:vector>
  </TitlesOfParts>
  <Company>ACNielsen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mishrara01</dc:creator>
  <cp:lastModifiedBy>Siddharth Rodrigues</cp:lastModifiedBy>
  <cp:lastPrinted>2013-01-19T04:44:53Z</cp:lastPrinted>
  <dcterms:created xsi:type="dcterms:W3CDTF">2011-04-15T04:59:00Z</dcterms:created>
  <dcterms:modified xsi:type="dcterms:W3CDTF">2025-06-03T07:26:13Z</dcterms:modified>
</cp:coreProperties>
</file>